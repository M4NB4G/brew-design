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30430"/>
  <workbookPr filterPrivacy="1"/>
  <xr:revisionPtr revIDLastSave="0" documentId="13_ncr:1_{2435ABB5-7B24-4E84-B2AD-4B63706FD5A0}" xr6:coauthVersionLast="47" xr6:coauthVersionMax="47" xr10:uidLastSave="{00000000-0000-0000-0000-000000000000}"/>
  <bookViews>
    <workbookView xWindow="-108" yWindow="-108" windowWidth="23256" windowHeight="12456" firstSheet="3" activeTab="1" xr2:uid="{00000000-000D-0000-FFFF-FFFF00000000}"/>
  </bookViews>
  <sheets>
    <sheet name="Read Me" sheetId="6" r:id="rId1"/>
    <sheet name="Malts" sheetId="1" r:id="rId2"/>
    <sheet name="Hops" sheetId="2" r:id="rId3"/>
    <sheet name="Yeasts" sheetId="3" r:id="rId4"/>
    <sheet name="Yeast Packs" sheetId="4" r:id="rId5"/>
    <sheet name="Review" sheetId="5"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6" i="4" l="1"/>
  <c r="D5" i="4"/>
  <c r="D4" i="4"/>
  <c r="D3" i="4"/>
  <c r="D2" i="4"/>
  <c r="H44" i="2"/>
  <c r="H43" i="2"/>
  <c r="H42" i="2"/>
  <c r="H41" i="2"/>
  <c r="H40" i="2"/>
  <c r="H39" i="2"/>
  <c r="H38" i="2"/>
  <c r="H37" i="2"/>
  <c r="H36" i="2"/>
  <c r="H35" i="2"/>
  <c r="H34" i="2"/>
  <c r="H33" i="2"/>
  <c r="H32" i="2"/>
  <c r="H31" i="2"/>
  <c r="H30" i="2"/>
  <c r="H29" i="2"/>
  <c r="H28" i="2"/>
  <c r="H27" i="2"/>
  <c r="H26" i="2"/>
  <c r="H25" i="2"/>
  <c r="H24" i="2"/>
  <c r="H23" i="2"/>
  <c r="H22" i="2"/>
  <c r="H21" i="2"/>
  <c r="H20" i="2"/>
  <c r="H19" i="2"/>
  <c r="H18" i="2"/>
  <c r="H17" i="2"/>
  <c r="H16" i="2"/>
  <c r="H15" i="2"/>
  <c r="H14" i="2"/>
  <c r="H13" i="2"/>
  <c r="H12" i="2"/>
  <c r="H11" i="2"/>
  <c r="H10" i="2"/>
  <c r="H9" i="2"/>
  <c r="H8" i="2"/>
  <c r="H7" i="2"/>
  <c r="H6" i="2"/>
  <c r="H5" i="2"/>
  <c r="H4" i="2"/>
  <c r="H3" i="2"/>
  <c r="H2" i="2"/>
  <c r="I43" i="1"/>
  <c r="I42" i="1"/>
  <c r="I41" i="1"/>
  <c r="I40" i="1"/>
  <c r="I39" i="1"/>
  <c r="I38" i="1"/>
  <c r="I37" i="1"/>
  <c r="I36" i="1"/>
  <c r="I35" i="1"/>
  <c r="I34" i="1"/>
  <c r="I33" i="1"/>
  <c r="I32" i="1"/>
  <c r="I31" i="1"/>
  <c r="I30" i="1"/>
  <c r="I29" i="1"/>
  <c r="I28" i="1"/>
  <c r="I27" i="1"/>
  <c r="I26" i="1"/>
  <c r="I25" i="1"/>
  <c r="I24" i="1"/>
  <c r="I23" i="1"/>
  <c r="I22" i="1"/>
  <c r="I21" i="1"/>
  <c r="I20" i="1"/>
  <c r="I19" i="1"/>
  <c r="I18" i="1"/>
  <c r="I17" i="1"/>
  <c r="I16" i="1"/>
  <c r="I15" i="1"/>
  <c r="I14" i="1"/>
  <c r="I13" i="1"/>
  <c r="I12" i="1"/>
  <c r="I11" i="1"/>
  <c r="I10" i="1"/>
  <c r="I9" i="1"/>
  <c r="I8" i="1"/>
  <c r="I7" i="1"/>
  <c r="I6" i="1"/>
  <c r="I5" i="1"/>
  <c r="I4" i="1"/>
  <c r="I3" i="1"/>
  <c r="I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100-000001000000}">
      <text>
        <r>
          <rPr>
            <sz val="11"/>
            <color theme="1"/>
            <rFont val="Calibri"/>
            <family val="2"/>
            <scheme val="minor"/>
          </rPr>
          <t>The name shown in the app's search box. Required.</t>
        </r>
      </text>
    </comment>
    <comment ref="B1" authorId="0" shapeId="0" xr:uid="{00000000-0006-0000-0100-000002000000}">
      <text>
        <r>
          <rPr>
            <sz val="11"/>
            <color theme="1"/>
            <rFont val="Calibri"/>
            <family val="2"/>
            <scheme val="minor"/>
          </rPr>
          <t>Optional: who makes it (Rahr, Weyermann, Briess ...).</t>
        </r>
      </text>
    </comment>
    <comment ref="C1" authorId="0" shapeId="0" xr:uid="{00000000-0006-0000-0100-000003000000}">
      <text>
        <r>
          <rPr>
            <sz val="11"/>
            <color theme="1"/>
            <rFont val="Calibri"/>
            <family val="2"/>
            <scheme val="minor"/>
          </rPr>
          <t>Extract, fine grind dry basis. Used by the app. Type it with the % sign (82%).</t>
        </r>
      </text>
    </comment>
    <comment ref="D1" authorId="0" shapeId="0" xr:uid="{00000000-0006-0000-0100-000004000000}">
      <text>
        <r>
          <rPr>
            <sz val="11"/>
            <color theme="1"/>
            <rFont val="Calibri"/>
            <family val="2"/>
            <scheme val="minor"/>
          </rPr>
          <t>Degrees Lovibond. Used by the app.</t>
        </r>
      </text>
    </comment>
    <comment ref="E1" authorId="0" shapeId="0" xr:uid="{00000000-0006-0000-0100-000005000000}">
      <text>
        <r>
          <rPr>
            <sz val="11"/>
            <color theme="1"/>
            <rFont val="Calibri"/>
            <family val="2"/>
            <scheme val="minor"/>
          </rPr>
          <t>Price paid for one pack.</t>
        </r>
      </text>
    </comment>
    <comment ref="F1" authorId="0" shapeId="0" xr:uid="{00000000-0006-0000-0100-000006000000}">
      <text>
        <r>
          <rPr>
            <sz val="11"/>
            <color theme="1"/>
            <rFont val="Calibri"/>
            <family val="2"/>
            <scheme val="minor"/>
          </rPr>
          <t>Size of that pack, in the unit in the next column.</t>
        </r>
      </text>
    </comment>
    <comment ref="G1" authorId="0" shapeId="0" xr:uid="{00000000-0006-0000-0100-000007000000}">
      <text>
        <r>
          <rPr>
            <sz val="11"/>
            <color theme="1"/>
            <rFont val="Calibri"/>
            <family val="2"/>
            <scheme val="minor"/>
          </rPr>
          <t>lb or oz.</t>
        </r>
      </text>
    </comment>
    <comment ref="H1" authorId="0" shapeId="0" xr:uid="{00000000-0006-0000-0100-000008000000}">
      <text>
        <r>
          <rPr>
            <sz val="11"/>
            <color theme="1"/>
            <rFont val="Calibri"/>
            <family val="2"/>
            <scheme val="minor"/>
          </rPr>
          <t>Where you buy it.</t>
        </r>
      </text>
    </comment>
    <comment ref="I1" authorId="0" shapeId="0" xr:uid="{00000000-0006-0000-0100-000009000000}">
      <text>
        <r>
          <rPr>
            <sz val="11"/>
            <color theme="1"/>
            <rFont val="Calibri"/>
            <family val="2"/>
            <scheme val="minor"/>
          </rPr>
          <t>Computed: price ÷ pack size in pounds. Do not type here.</t>
        </r>
      </text>
    </comment>
    <comment ref="J1" authorId="0" shapeId="0" xr:uid="{00000000-0006-0000-0100-00000A000000}">
      <text>
        <r>
          <rPr>
            <sz val="11"/>
            <color theme="1"/>
            <rFont val="Calibri"/>
            <family val="2"/>
            <scheme val="minor"/>
          </rPr>
          <t>How many of your recipe workbooks list it (seeded rows).</t>
        </r>
      </text>
    </comment>
    <comment ref="K1" authorId="0" shapeId="0" xr:uid="{00000000-0006-0000-0100-00000B000000}">
      <text>
        <r>
          <rPr>
            <sz val="11"/>
            <color theme="1"/>
            <rFont val="Calibri"/>
            <family val="2"/>
            <scheme val="minor"/>
          </rPr>
          <t>Where the numbers came from. Replace with the maltster spec sheet or link when you confirm a row.</t>
        </r>
      </text>
    </comment>
    <comment ref="L1" authorId="0" shapeId="0" xr:uid="{00000000-0006-0000-0100-00000C000000}">
      <text>
        <r>
          <rPr>
            <sz val="11"/>
            <color theme="1"/>
            <rFont val="Calibri"/>
            <family val="2"/>
            <scheme val="minor"/>
          </rPr>
          <t>Check = see Notes and the Review sheet. OK = seeded, no disagreement. Confirmed = you checked it.</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200-000001000000}">
      <text>
        <r>
          <rPr>
            <sz val="11"/>
            <color theme="1"/>
            <rFont val="Calibri"/>
            <family val="2"/>
            <scheme val="minor"/>
          </rPr>
          <t>The name shown in the app's search box. Required.</t>
        </r>
      </text>
    </comment>
    <comment ref="B1" authorId="0" shapeId="0" xr:uid="{00000000-0006-0000-0200-000002000000}">
      <text>
        <r>
          <rPr>
            <sz val="11"/>
            <color theme="1"/>
            <rFont val="Calibri"/>
            <family val="2"/>
            <scheme val="minor"/>
          </rPr>
          <t>Optional: country or grower.</t>
        </r>
      </text>
    </comment>
    <comment ref="C1" authorId="0" shapeId="0" xr:uid="{00000000-0006-0000-0200-000003000000}">
      <text>
        <r>
          <rPr>
            <sz val="11"/>
            <color theme="1"/>
            <rFont val="Calibri"/>
            <family val="2"/>
            <scheme val="minor"/>
          </rPr>
          <t>Used by the app. Type it with the % sign (12.5%). Alpha changes with every crop year and lot: this is the typical figure the app fills in, and the brewer can overwrite it.</t>
        </r>
      </text>
    </comment>
    <comment ref="D1" authorId="0" shapeId="0" xr:uid="{00000000-0006-0000-0200-000004000000}">
      <text>
        <r>
          <rPr>
            <sz val="11"/>
            <color theme="1"/>
            <rFont val="Calibri"/>
            <family val="2"/>
            <scheme val="minor"/>
          </rPr>
          <t>Price paid for one pack.</t>
        </r>
      </text>
    </comment>
    <comment ref="E1" authorId="0" shapeId="0" xr:uid="{00000000-0006-0000-0200-000005000000}">
      <text>
        <r>
          <rPr>
            <sz val="11"/>
            <color theme="1"/>
            <rFont val="Calibri"/>
            <family val="2"/>
            <scheme val="minor"/>
          </rPr>
          <t>Size of that pack, in the unit in the next column.</t>
        </r>
      </text>
    </comment>
    <comment ref="F1" authorId="0" shapeId="0" xr:uid="{00000000-0006-0000-0200-000006000000}">
      <text>
        <r>
          <rPr>
            <sz val="11"/>
            <color theme="1"/>
            <rFont val="Calibri"/>
            <family val="2"/>
            <scheme val="minor"/>
          </rPr>
          <t>lb or oz.</t>
        </r>
      </text>
    </comment>
    <comment ref="G1" authorId="0" shapeId="0" xr:uid="{00000000-0006-0000-0200-000007000000}">
      <text>
        <r>
          <rPr>
            <sz val="11"/>
            <color theme="1"/>
            <rFont val="Calibri"/>
            <family val="2"/>
            <scheme val="minor"/>
          </rPr>
          <t>Where you buy it.</t>
        </r>
      </text>
    </comment>
    <comment ref="H1" authorId="0" shapeId="0" xr:uid="{00000000-0006-0000-0200-000008000000}">
      <text>
        <r>
          <rPr>
            <sz val="11"/>
            <color theme="1"/>
            <rFont val="Calibri"/>
            <family val="2"/>
            <scheme val="minor"/>
          </rPr>
          <t>Computed: price ÷ pack size in ounces. Do not type here.</t>
        </r>
      </text>
    </comment>
    <comment ref="I1" authorId="0" shapeId="0" xr:uid="{00000000-0006-0000-0200-000009000000}">
      <text>
        <r>
          <rPr>
            <sz val="11"/>
            <color theme="1"/>
            <rFont val="Calibri"/>
            <family val="2"/>
            <scheme val="minor"/>
          </rPr>
          <t>How many of your recipe workbooks list it (seeded rows).</t>
        </r>
      </text>
    </comment>
    <comment ref="J1" authorId="0" shapeId="0" xr:uid="{00000000-0006-0000-0200-00000A000000}">
      <text>
        <r>
          <rPr>
            <sz val="11"/>
            <color theme="1"/>
            <rFont val="Calibri"/>
            <family val="2"/>
            <scheme val="minor"/>
          </rPr>
          <t>Where the number came from. Replace with the merchant's variety page or lot sheet when you confirm a row.</t>
        </r>
      </text>
    </comment>
    <comment ref="K1" authorId="0" shapeId="0" xr:uid="{00000000-0006-0000-0200-00000B000000}">
      <text>
        <r>
          <rPr>
            <sz val="11"/>
            <color theme="1"/>
            <rFont val="Calibri"/>
            <family val="2"/>
            <scheme val="minor"/>
          </rPr>
          <t>Check = see Notes and the Review sheet. OK = seeded, no disagreement. Confirmed = you checked it.</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300-000001000000}">
      <text>
        <r>
          <rPr>
            <sz val="11"/>
            <color theme="1"/>
            <rFont val="Calibri"/>
            <family val="2"/>
            <scheme val="minor"/>
          </rPr>
          <t>The name shown in the app's search box: product code and strain name. Required.</t>
        </r>
      </text>
    </comment>
    <comment ref="B1" authorId="0" shapeId="0" xr:uid="{00000000-0006-0000-0300-000002000000}">
      <text>
        <r>
          <rPr>
            <sz val="11"/>
            <color theme="1"/>
            <rFont val="Calibri"/>
            <family val="2"/>
            <scheme val="minor"/>
          </rPr>
          <t>Imperial, Omega, White Labs, Wyeast ...</t>
        </r>
      </text>
    </comment>
    <comment ref="D1" authorId="0" shapeId="0" xr:uid="{00000000-0006-0000-0300-000003000000}">
      <text>
        <r>
          <rPr>
            <sz val="11"/>
            <color theme="1"/>
            <rFont val="Calibri"/>
            <family val="2"/>
            <scheme val="minor"/>
          </rPr>
          <t>Used by the app to pick the pitch rate. Ale or Lager only; wheat (hefeweizen) strains are ales.</t>
        </r>
      </text>
    </comment>
    <comment ref="E1" authorId="0" shapeId="0" xr:uid="{00000000-0006-0000-0300-000004000000}">
      <text>
        <r>
          <rPr>
            <sz val="11"/>
            <color theme="1"/>
            <rFont val="Calibri"/>
            <family val="2"/>
            <scheme val="minor"/>
          </rPr>
          <t>Apparent attenuation. Used by the app. Seeded from what you entered in your recipes, which is a target, not the lab spec; replace with the lab figure when you confirm.</t>
        </r>
      </text>
    </comment>
    <comment ref="F1" authorId="0" shapeId="0" xr:uid="{00000000-0006-0000-0300-000005000000}">
      <text>
        <r>
          <rPr>
            <sz val="11"/>
            <color theme="1"/>
            <rFont val="Calibri"/>
            <family val="2"/>
            <scheme val="minor"/>
          </rPr>
          <t>Lab's recommended fermentation range, low end. Shown in the app as guidance.</t>
        </r>
      </text>
    </comment>
    <comment ref="G1" authorId="0" shapeId="0" xr:uid="{00000000-0006-0000-0300-000006000000}">
      <text>
        <r>
          <rPr>
            <sz val="11"/>
            <color theme="1"/>
            <rFont val="Calibri"/>
            <family val="2"/>
            <scheme val="minor"/>
          </rPr>
          <t>Lab's recommended fermentation range, high end.</t>
        </r>
      </text>
    </comment>
    <comment ref="H1" authorId="0" shapeId="0" xr:uid="{00000000-0006-0000-0300-000007000000}">
      <text>
        <r>
          <rPr>
            <sz val="11"/>
            <color theme="1"/>
            <rFont val="Calibri"/>
            <family val="2"/>
            <scheme val="minor"/>
          </rPr>
          <t>The initial fermentation temperature you used most often with this strain (from your recipes). For reference.</t>
        </r>
      </text>
    </comment>
    <comment ref="I1" authorId="0" shapeId="0" xr:uid="{00000000-0006-0000-0300-000008000000}">
      <text>
        <r>
          <rPr>
            <sz val="11"/>
            <color theme="1"/>
            <rFont val="Calibri"/>
            <family val="2"/>
            <scheme val="minor"/>
          </rPr>
          <t>How many of your recipe workbooks used it.</t>
        </r>
      </text>
    </comment>
    <comment ref="J1" authorId="0" shapeId="0" xr:uid="{00000000-0006-0000-0300-000009000000}">
      <text>
        <r>
          <rPr>
            <sz val="11"/>
            <color theme="1"/>
            <rFont val="Calibri"/>
            <family val="2"/>
            <scheme val="minor"/>
          </rPr>
          <t>Where the numbers came from. Replace with the lab's product page when you confirm a row.</t>
        </r>
      </text>
    </comment>
    <comment ref="K1" authorId="0" shapeId="0" xr:uid="{00000000-0006-0000-0300-00000A000000}">
      <text>
        <r>
          <rPr>
            <sz val="11"/>
            <color theme="1"/>
            <rFont val="Calibri"/>
            <family val="2"/>
            <scheme val="minor"/>
          </rPr>
          <t>Check = see Notes and the Review sheet. OK = seeded. Confirmed = you checked it.</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1" authorId="0" shapeId="0" xr:uid="{00000000-0006-0000-0400-000001000000}">
      <text>
        <r>
          <rPr>
            <sz val="11"/>
            <color theme="1"/>
            <rFont val="Calibri"/>
            <family val="2"/>
            <scheme val="minor"/>
          </rPr>
          <t>Pack family; price depends on the pack, not the strain.</t>
        </r>
      </text>
    </comment>
    <comment ref="C1" authorId="0" shapeId="0" xr:uid="{00000000-0006-0000-0400-000002000000}">
      <text>
        <r>
          <rPr>
            <sz val="11"/>
            <color theme="1"/>
            <rFont val="Calibri"/>
            <family val="2"/>
            <scheme val="minor"/>
          </rPr>
          <t>Cells per pack, billions.</t>
        </r>
      </text>
    </comment>
    <comment ref="D1" authorId="0" shapeId="0" xr:uid="{00000000-0006-0000-0400-000003000000}">
      <text>
        <r>
          <rPr>
            <sz val="11"/>
            <color theme="1"/>
            <rFont val="Calibri"/>
            <family val="2"/>
            <scheme val="minor"/>
          </rPr>
          <t>Computed: price ÷ cells. Do not type here.</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1" authorId="0" shapeId="0" xr:uid="{00000000-0006-0000-0500-000001000000}">
      <text>
        <r>
          <rPr>
            <sz val="11"/>
            <color theme="1"/>
            <rFont val="Calibri"/>
            <family val="2"/>
            <scheme val="minor"/>
          </rPr>
          <t>Write what you want, or leave blank to accept the seed.</t>
        </r>
      </text>
    </comment>
  </commentList>
</comments>
</file>

<file path=xl/sharedStrings.xml><?xml version="1.0" encoding="utf-8"?>
<sst xmlns="http://schemas.openxmlformats.org/spreadsheetml/2006/main" count="1229" uniqueCount="475">
  <si>
    <t>Brew Design — ingredient master list</t>
  </si>
  <si>
    <t/>
  </si>
  <si>
    <t>What this is</t>
  </si>
  <si>
    <t>One list of every malt, hop and yeast the app will offer in its type-to-search boxes. Picking one in the app fills in the numbers from this list; every number stays editable in the recipe, and the brewer's own figure always wins.</t>
  </si>
  <si>
    <t>What the app uses</t>
  </si>
  <si>
    <t>Malts: Name, FGDB, Colour.   Hops: Name, Alpha acid.   Yeasts: Name, Ale / Lager, Attenuation (lab temperature range shown as guidance). Every other column is for you, and for costing later.</t>
  </si>
  <si>
    <t>Where the seed came from</t>
  </si>
  <si>
    <t>Costs Ref in 50 of your recipe workbooks (OneDrive › Brewing Stuff › Recipes), read 2026-09-23; yeast strains, attenuation and fermentation temperature from the yeast block of each recipe's Grist and Pitch sheet. Your workbooks were read, not changed.</t>
  </si>
  <si>
    <t>How seed values were chosen</t>
  </si>
  <si>
    <t>Where your workbooks disagree, the seed takes the value you entered most often; a tie goes to the most recently saved workbook. Prices come from the most recently saved workbook. Every disagreement is listed on the Review sheet with all the values seen.</t>
  </si>
  <si>
    <t>Spellings merged</t>
  </si>
  <si>
    <t>Obvious variants of one ingredient were merged into one row (Mt Hood / Mt. Hood / Mount Hood; Pilsner / Pilsener / Pilsner, Northstar ...). Each merge is on the Review sheet.</t>
  </si>
  <si>
    <t>Yeast attenuation</t>
  </si>
  <si>
    <t>Seeded from the attenuation you entered in your recipes. That is a recipe target, not the lab's spec, so every yeast row starts as Check. The lab temperature range is blank for you to fill in.</t>
  </si>
  <si>
    <t>Owner's review (2026-09-23)</t>
  </si>
  <si>
    <t>Every Review-tab item was decided and applied to the sheets; unnamed strains were named, lab temperature ranges filled in, and seven strains added (G01 Stefon, L13 Global, WLP066 London Fog, and Fermentis W-34/70, S-04, US-05, K-97). Rows the owner decided or sourced are Confirmed. The Review tab is kept as the record of those decisions.</t>
  </si>
  <si>
    <t>Legend</t>
  </si>
  <si>
    <t>Blue text</t>
  </si>
  <si>
    <t>A value you can edit.</t>
  </si>
  <si>
    <t>Black text</t>
  </si>
  <si>
    <t>Computed (costs). Do not type over it.</t>
  </si>
  <si>
    <t>Yellow fill</t>
  </si>
  <si>
    <t>Needs your attention: a row marked Check, a blank to fill in, or a decision on the Review sheet.</t>
  </si>
  <si>
    <t>Status column</t>
  </si>
  <si>
    <t>Check = see Notes and the Review sheet.   OK = seeded, no disagreement found.   Confirmed = you checked it against the maker's spec.</t>
  </si>
  <si>
    <t>Percent columns</t>
  </si>
  <si>
    <t>FGDB, alpha acid and attenuation: type them with the % sign (82%, 12.5%). Typing 82 without the sign would mean 8200%.</t>
  </si>
  <si>
    <t>Adding an ingredient</t>
  </si>
  <si>
    <t>Add a row at the bottom of its sheet. Name plus the numbers the app uses are enough. Put the maker's spec sheet or web page in Source and set Status to Confirmed.</t>
  </si>
  <si>
    <t>Getting it into the app</t>
  </si>
  <si>
    <t>Not wired up yet. How this workbook reaches the app, and the test that holds the app to it, is the next item's scope.</t>
  </si>
  <si>
    <t>Name</t>
  </si>
  <si>
    <t>Maltster</t>
  </si>
  <si>
    <t>FGDB (%)</t>
  </si>
  <si>
    <t>Colour (°L)</t>
  </si>
  <si>
    <t>Price ($)</t>
  </si>
  <si>
    <t>Pack size</t>
  </si>
  <si>
    <t>Pack unit</t>
  </si>
  <si>
    <t>Supplier</t>
  </si>
  <si>
    <t>Cost ($/lb)</t>
  </si>
  <si>
    <t>In # workbooks</t>
  </si>
  <si>
    <t>Source</t>
  </si>
  <si>
    <t>Status</t>
  </si>
  <si>
    <t>Notes</t>
  </si>
  <si>
    <t>2-Row Brewers Malt</t>
  </si>
  <si>
    <t>lb</t>
  </si>
  <si>
    <t>BrewCh</t>
  </si>
  <si>
    <t>Costs Ref in 45 workbooks; last seen in NZ Pils Rev 3 (2026-09-22)</t>
  </si>
  <si>
    <t>OK</t>
  </si>
  <si>
    <t>American Crystal 120</t>
  </si>
  <si>
    <t>American Crystal 40</t>
  </si>
  <si>
    <t>Confirmed</t>
  </si>
  <si>
    <t>Confirmed 2026-09-23. Also written as: American Crystal 040</t>
  </si>
  <si>
    <t>American Crystal 60</t>
  </si>
  <si>
    <t>Confirmed 2026-09-23. Also written as: American Crystal 060</t>
  </si>
  <si>
    <t>American Crystal 80</t>
  </si>
  <si>
    <t>Morebeer</t>
  </si>
  <si>
    <t>Costs Ref in 1 workbook; last seen in Hop Rapids Rev 3 (2023-12-01)</t>
  </si>
  <si>
    <t>Confirmed 2026-09-23. Also written as: American Crystal 080</t>
  </si>
  <si>
    <t>Aromatic Malt</t>
  </si>
  <si>
    <t>Briess (owner's decision 2026-09-23)</t>
  </si>
  <si>
    <t>Decided 2026-09-23: 79% per Briess (your workbooks had 70% in most copies, 79% in one).</t>
  </si>
  <si>
    <t>Blanc Soft Candi Sugar</t>
  </si>
  <si>
    <t>Costs Ref in 31 workbooks; last seen in NZ Pils Rev 3 (2026-09-22)</t>
  </si>
  <si>
    <t>Bonlander Munich</t>
  </si>
  <si>
    <t>Candi Syrup, Golden</t>
  </si>
  <si>
    <t>Costs Ref in 1 workbook; last seen in Trappist Single Rev 2.1 (2023-07-10)</t>
  </si>
  <si>
    <t>Carafa Special 2</t>
  </si>
  <si>
    <t>Costs Ref in 32 workbooks; last seen in NZ Pils Rev 3 (2026-09-22)</t>
  </si>
  <si>
    <t>Carafoam</t>
  </si>
  <si>
    <t>Costs Ref in 40 workbooks; last seen in NZ Pils Rev 3 (2026-09-22)</t>
  </si>
  <si>
    <t>Caramunich</t>
  </si>
  <si>
    <t>Homebrewer</t>
  </si>
  <si>
    <t>Costs Ref in 1 workbook; last seen in Baltic Porter Rev 2.1 (2024-02-06)</t>
  </si>
  <si>
    <t>Chocolate Rye Malt</t>
  </si>
  <si>
    <t>Costs Ref in 38 workbooks; last seen in NZ Pils Rev 3 (2026-09-22)</t>
  </si>
  <si>
    <t>Dextrose</t>
  </si>
  <si>
    <t>Costs Ref in 20 workbooks; last seen in NZ Pils Rev 3 (2026-09-22)</t>
  </si>
  <si>
    <t>Decided 2026-09-23: 92%. Also written as: Dextrose (added in kettle).</t>
  </si>
  <si>
    <t>English Black Malt</t>
  </si>
  <si>
    <t>English Chocolate Malt</t>
  </si>
  <si>
    <t>English Crystal 15</t>
  </si>
  <si>
    <t>English Crystal 170</t>
  </si>
  <si>
    <t>Flaked Corn</t>
  </si>
  <si>
    <t>Costs Ref in 34 workbooks; last seen in NZ Pils Rev 3 (2026-09-22)</t>
  </si>
  <si>
    <t>Flaked Oats</t>
  </si>
  <si>
    <t>Costs Ref in 43 workbooks; last seen in NZ Pils Rev 3 (2026-09-22)</t>
  </si>
  <si>
    <t>Also written as: flaked Oats (one workbook, same numbers).</t>
  </si>
  <si>
    <t>Flaked Rice</t>
  </si>
  <si>
    <t>Costs Ref in 1 workbook; last seen in American Light Lager Rev 3 (2023-04-03)</t>
  </si>
  <si>
    <t>Flaked Wheat</t>
  </si>
  <si>
    <t>Decided 2026-09-23: cost $0.995/lb ($1.99 for a 2 lb pack).</t>
  </si>
  <si>
    <t>Golden Promise Pale Malt</t>
  </si>
  <si>
    <t>Decided 2026-09-23: 81%, 2.2 °L. Also written as: Golden Promise.</t>
  </si>
  <si>
    <t>Goldpils Vienna</t>
  </si>
  <si>
    <t>Honey Malt</t>
  </si>
  <si>
    <t>Costs Ref in 1 workbook; last seen in Kevs IPA Receipe Rev 2 (2023-01-15)</t>
  </si>
  <si>
    <t>Lactose</t>
  </si>
  <si>
    <t>Confirmed 2026-09-23. Also written as: Lactose (added in kettle)</t>
  </si>
  <si>
    <t>Midnight Wheat</t>
  </si>
  <si>
    <t>Tertiary sources; Briess publishes no FGDB (owner's decision 2026-09-23)</t>
  </si>
  <si>
    <t>Decided 2026-09-23: 75% from tertiary sources. Your workbooks had 0%, which made it add colour but no gravity.</t>
  </si>
  <si>
    <t>Munich Type 1</t>
  </si>
  <si>
    <t>Munich Type 2</t>
  </si>
  <si>
    <t>Pale Chocolate Malt</t>
  </si>
  <si>
    <t>Pilsner, Dingeman Belgian</t>
  </si>
  <si>
    <t>Pilsner, Northstar</t>
  </si>
  <si>
    <t>Confirmed 2026-09-23. Also written as: Pilsner, Pilsner, Rahr North Star, Pilsener, North Star Pilsner Malt</t>
  </si>
  <si>
    <t>Pilsner, Weyermann</t>
  </si>
  <si>
    <t>Costs Ref in 16 workbooks; last seen in NZ Pils Rev 3 (2026-09-22)</t>
  </si>
  <si>
    <t>Pineapple Puree (Ferm Added)</t>
  </si>
  <si>
    <t>Costs Ref in 1 workbook; last seen in Orange Grenade with Pineapple Rev 3 (2024-08-10)</t>
  </si>
  <si>
    <t>Raw Wheat</t>
  </si>
  <si>
    <t>Costs Ref in 42 workbooks; last seen in NZ Pils Rev 3 (2026-09-22)</t>
  </si>
  <si>
    <t>Decided 2026-09-23: 2.0 °L (your workbooks had 3.3 and 2.75).</t>
  </si>
  <si>
    <t>Rice Hulls</t>
  </si>
  <si>
    <t>Costs Ref in 41 workbooks; last seen in NZ Pils Rev 3 (2026-09-22)</t>
  </si>
  <si>
    <t>Rice, Cereal Cooked</t>
  </si>
  <si>
    <t>Yims Market</t>
  </si>
  <si>
    <t>Costs Ref in 1 workbook; last seen in Japanese Lager Rev 3 (2025-04-27)</t>
  </si>
  <si>
    <t>Special "B"</t>
  </si>
  <si>
    <t>Special Roast Malt</t>
  </si>
  <si>
    <t>Costs Ref in 30 workbooks; last seen in NZ Pils Rev 3 (2026-09-22)</t>
  </si>
  <si>
    <t>Victory</t>
  </si>
  <si>
    <t>Costs Ref in 24 workbooks; last seen in NZ Pils Rev 3 (2026-09-22)</t>
  </si>
  <si>
    <t>Vienna</t>
  </si>
  <si>
    <t>Costs Ref in 37 workbooks; last seen in NZ Pils Rev 3 (2026-09-22)</t>
  </si>
  <si>
    <t>White Wheat Malt</t>
  </si>
  <si>
    <t>Decided 2026-09-23: named White Wheat Malt. Also written as: White Wheat.</t>
  </si>
  <si>
    <t>Origin</t>
  </si>
  <si>
    <t>Alpha acid (%)</t>
  </si>
  <si>
    <t>Cost ($/oz)</t>
  </si>
  <si>
    <t>Ales for ALS Blend</t>
  </si>
  <si>
    <t>Ales for ALS</t>
  </si>
  <si>
    <t>Costs Ref in 2 workbooks; last seen in Have Code Will Brew HIPA Recipe Rev 3 (2026-07-05)</t>
  </si>
  <si>
    <t>Amarillo</t>
  </si>
  <si>
    <t>Yak Valley</t>
  </si>
  <si>
    <t>Azacca</t>
  </si>
  <si>
    <t>oz</t>
  </si>
  <si>
    <t>Costs Ref in 1 workbook; last seen in Hawaiian Hazy Rev 2.1 (2023-02-20)</t>
  </si>
  <si>
    <t>Bravo</t>
  </si>
  <si>
    <t>Decided 2026-09-23: 14.4% (your workbooks had 14.2% and 14.7%).</t>
  </si>
  <si>
    <t>Bru-1</t>
  </si>
  <si>
    <t>Costs Ref in 21 workbooks; last seen in NZ Pils Rev 3 (2026-09-22)</t>
  </si>
  <si>
    <t>Cascade</t>
  </si>
  <si>
    <t>Costs Ref in 4 workbooks; last seen in West Coast Pils (2026-09-22)</t>
  </si>
  <si>
    <t>Decided 2026-09-23: 6.2% (your workbooks differed; see the Review tab).</t>
  </si>
  <si>
    <t>Cashmere</t>
  </si>
  <si>
    <t>BrewChatter</t>
  </si>
  <si>
    <t>Centennial</t>
  </si>
  <si>
    <t>Chinook</t>
  </si>
  <si>
    <t>Citra</t>
  </si>
  <si>
    <t>Citra LupoMAX</t>
  </si>
  <si>
    <t>Cluster</t>
  </si>
  <si>
    <t>CTZ</t>
  </si>
  <si>
    <t>CTZ Hop Extract</t>
  </si>
  <si>
    <t>10 mL (Yak Valley)</t>
  </si>
  <si>
    <t>Costs Ref in 1 workbook; last seen in Evil 3 Clone Rev 3 (2023-12-01)</t>
  </si>
  <si>
    <t>East Kent Goldings</t>
  </si>
  <si>
    <t>Decided 2026-09-23: 5.5% (your workbooks differed; see the Review tab).</t>
  </si>
  <si>
    <t>Ekuanot</t>
  </si>
  <si>
    <t>Eldorado</t>
  </si>
  <si>
    <t>Fuggle</t>
  </si>
  <si>
    <t>Decided 2026-09-23: 5% (your workbooks differed; see the Review tab).</t>
  </si>
  <si>
    <t>Galaxy</t>
  </si>
  <si>
    <t>Costs Ref in 9 workbooks; last seen in NZ Pils Rev 3 (2026-09-22)</t>
  </si>
  <si>
    <t>Decided 2026-09-23: 15% (your workbooks differed; see the Review tab).</t>
  </si>
  <si>
    <t>Hallertau Blanc</t>
  </si>
  <si>
    <t>Decided 2026-09-23: 10.5% (your workbooks differed; see the Review tab).</t>
  </si>
  <si>
    <t>Hallertau Mittelfrüh</t>
  </si>
  <si>
    <t>Decided 2026-09-23: 2.9% (most workbooks had 4.2%). Cost from price ÷ pack size: $1.219/oz (the old sheet had $0.609).</t>
  </si>
  <si>
    <t>Helios</t>
  </si>
  <si>
    <t>Costs Ref in 1 workbook; last seen in Experiments Are Fun Rev 3 (2026-06-16)</t>
  </si>
  <si>
    <t>Hopstiener 9326</t>
  </si>
  <si>
    <t>Idaho 7</t>
  </si>
  <si>
    <t>Lotus</t>
  </si>
  <si>
    <t>Magnum</t>
  </si>
  <si>
    <t>Mosaic</t>
  </si>
  <si>
    <t>Mosaic LupoMAX</t>
  </si>
  <si>
    <t>Motueka</t>
  </si>
  <si>
    <t>Decided 2026-09-23: 7% (your workbooks differed; see the Review tab).</t>
  </si>
  <si>
    <t>Mount Hood</t>
  </si>
  <si>
    <t>Costs Ref in 26 workbooks; last seen in NZ Pils Rev 3 (2026-09-22)</t>
  </si>
  <si>
    <t>Decided 2026-09-23: $2 per 2 oz (most workbooks had $23, a typo); alpha 4.9%. Also written as: Mt Hood, Mt. Hood.</t>
  </si>
  <si>
    <t>Nectaron</t>
  </si>
  <si>
    <t>Free from Schuss</t>
  </si>
  <si>
    <t>Costs Ref in 3 workbooks; last seen in NZ Pils Rev 3 (2026-09-22)</t>
  </si>
  <si>
    <t>Decided 2026-09-23: 9% (your workbooks differed; see the Review tab).</t>
  </si>
  <si>
    <t>Nelson Sauvin</t>
  </si>
  <si>
    <t>Decided 2026-09-23: 12.5% (your workbooks differed; see the Review tab).</t>
  </si>
  <si>
    <t>Nugget</t>
  </si>
  <si>
    <t>Perle</t>
  </si>
  <si>
    <t>Saaz</t>
  </si>
  <si>
    <t>Saphir</t>
  </si>
  <si>
    <t>Simcoe</t>
  </si>
  <si>
    <t>Sterling</t>
  </si>
  <si>
    <t>Decided 2026-09-23: 9.5% (your workbooks differed; see the Review tab).</t>
  </si>
  <si>
    <t>Styrian Celeia Golding</t>
  </si>
  <si>
    <t>Costs Ref in 1 workbook; last seen in Bobs Your Uncle Rev 2 (2023-11-01)</t>
  </si>
  <si>
    <t>Styrian Goldings</t>
  </si>
  <si>
    <t>Talus</t>
  </si>
  <si>
    <t>Costs Ref in 1 workbook; last seen in Thiolized Cream Ale Rev 3 (2025-02-21)</t>
  </si>
  <si>
    <t>Tettnanger</t>
  </si>
  <si>
    <t>MoreBeer</t>
  </si>
  <si>
    <t>Costs Ref in 3 workbooks; last seen in Holy Hefe Rev 3 (2026-01-22)</t>
  </si>
  <si>
    <t>Decided 2026-09-23: 2.6%. Also written as: Tettnang (3.0%).</t>
  </si>
  <si>
    <t>Warrior</t>
  </si>
  <si>
    <t>Costs Ref in 28 workbooks; last seen in Holy Hefe Rev 3 (2026-01-22)</t>
  </si>
  <si>
    <t>Lab</t>
  </si>
  <si>
    <t>Product code</t>
  </si>
  <si>
    <t>Ale / Lager</t>
  </si>
  <si>
    <t>Attenuation (%)</t>
  </si>
  <si>
    <t>Lab temp low (°F)</t>
  </si>
  <si>
    <t>Lab temp high (°F)</t>
  </si>
  <si>
    <t>Your ferm temp (°F)</t>
  </si>
  <si>
    <t>In # recipes</t>
  </si>
  <si>
    <t>A07 Flagship</t>
  </si>
  <si>
    <t>Imperial</t>
  </si>
  <si>
    <t>A07</t>
  </si>
  <si>
    <t>Ale</t>
  </si>
  <si>
    <t>Your recipes (5); last seen in Experiments Are Fun Rev 3 (2026-06-16)</t>
  </si>
  <si>
    <t>genetic same as WLP001</t>
  </si>
  <si>
    <t>A09 Pub</t>
  </si>
  <si>
    <t>A09</t>
  </si>
  <si>
    <t>Your recipes (1); last seen in Bobs Your Uncle Rev 2 (2023-11-01)</t>
  </si>
  <si>
    <t>Genetic same as S-04</t>
  </si>
  <si>
    <t>A38 Juice</t>
  </si>
  <si>
    <t>A38</t>
  </si>
  <si>
    <t>Your recipes (6); last seen in Have Code Will Brew HIPA Recipe Rev 3 (2026-07-05)</t>
  </si>
  <si>
    <t>Attenuation is your recipe figure (you have used 77% and 72%).</t>
  </si>
  <si>
    <t>A43 Loki</t>
  </si>
  <si>
    <t>A43</t>
  </si>
  <si>
    <t>Your recipes (1); last seen in Orange Grenade JPA Rev 2 (2024-06-05)</t>
  </si>
  <si>
    <t>Attenuation is your recipe figure.</t>
  </si>
  <si>
    <t>G01 Stefon</t>
  </si>
  <si>
    <t>G01</t>
  </si>
  <si>
    <t>imperialyeast.com</t>
  </si>
  <si>
    <t>Genetic same as WLP300</t>
  </si>
  <si>
    <t>G03 Dieter</t>
  </si>
  <si>
    <t>G03</t>
  </si>
  <si>
    <t>Your recipes (1); last seen in Kolsch Template Rev 2.1 (2024-02-16)</t>
  </si>
  <si>
    <t>L13 Global</t>
  </si>
  <si>
    <t>L13</t>
  </si>
  <si>
    <t>Lager</t>
  </si>
  <si>
    <t>Genetic same as WLP 830, SafAle 3470</t>
  </si>
  <si>
    <t>L17 Harvest</t>
  </si>
  <si>
    <t>L17</t>
  </si>
  <si>
    <t>Your recipes (1); last seen in Helles Rev 3 (2024-06-22)</t>
  </si>
  <si>
    <t>Owner 2026-09-23: L17 Harvest (recorded in your Helles as "G17").</t>
  </si>
  <si>
    <t>L55 Kanpai</t>
  </si>
  <si>
    <t>L55</t>
  </si>
  <si>
    <t>Your recipes (1); last seen in Japanese Lager Rev 3 (2025-04-27)</t>
  </si>
  <si>
    <t>OYL-402 Cosmic Punch</t>
  </si>
  <si>
    <t>Omega</t>
  </si>
  <si>
    <t>OYL-402</t>
  </si>
  <si>
    <t>Your recipes (2); last seen in Thiolized Cream Ale Rev 3 (2025-02-21)</t>
  </si>
  <si>
    <t>Owner 2026-09-23: one strain, recorded as OLY-402 and as Cosmic Punch. Attenuation is your recipe figure (you used 80% and 84%).</t>
  </si>
  <si>
    <t>OYL-071 Lutra Kveik</t>
  </si>
  <si>
    <t>OYL-071</t>
  </si>
  <si>
    <t>Your recipes (3); last seen in Cold IPA with Lime and Coconut Rev 3 (2025-05-05)</t>
  </si>
  <si>
    <t>Attenuation is your recipe figure (you have used 85% and 83%).</t>
  </si>
  <si>
    <t>OYL-090 Espe Kveik</t>
  </si>
  <si>
    <t>OYL-090</t>
  </si>
  <si>
    <t>Your recipes (1); last seen in Kveik EKG SMaSH Rev 3 (2025-04-07)</t>
  </si>
  <si>
    <t>OYL-406 Little DIPA</t>
  </si>
  <si>
    <t>OYL-406</t>
  </si>
  <si>
    <t>Your recipes (1); last seen in Aussie Christmas Hazy Rev 3 (2025-10-29)</t>
  </si>
  <si>
    <t>OYL-404 Star Party</t>
  </si>
  <si>
    <t>OYL-404</t>
  </si>
  <si>
    <t>Your recipes (1); last seen in Cascade Single Hop PA Rev 3 (2025-08-18)</t>
  </si>
  <si>
    <t>OYL-061 Voss Kveik</t>
  </si>
  <si>
    <t>OYL-061</t>
  </si>
  <si>
    <t>Your recipes (2); last seen in Orange Grenade Rev 3 (2024-12-20)</t>
  </si>
  <si>
    <t>WLP001 California Ale</t>
  </si>
  <si>
    <t>White Labs</t>
  </si>
  <si>
    <t>WLP001</t>
  </si>
  <si>
    <t>Your recipes (4); last seen in Recipe Template Rev 3 5-gal (2025-08-07)</t>
  </si>
  <si>
    <t>Attenuation is your recipe figure (you have used 80%, 90%, 77% and 75%).</t>
  </si>
  <si>
    <t>WLP002 English Ale</t>
  </si>
  <si>
    <t>WLP002</t>
  </si>
  <si>
    <t>Your recipes (1); last seen in Bob's Your Uncle ESB Rev 3 (2023-11-04)</t>
  </si>
  <si>
    <t>WLP005 British Ale</t>
  </si>
  <si>
    <t>WLP005</t>
  </si>
  <si>
    <t>Your recipes (2); last seen in Best Bitter Rev 3 (2023-03-31)</t>
  </si>
  <si>
    <t>WLP066 London Fog Ale</t>
  </si>
  <si>
    <t>WLP066</t>
  </si>
  <si>
    <t>whitelabs.com</t>
  </si>
  <si>
    <t>Genetic same as 1318, A38 Juice</t>
  </si>
  <si>
    <t>WLP075 Hansen Ale Blend</t>
  </si>
  <si>
    <t>WLP075</t>
  </si>
  <si>
    <t>Your recipes (1); last seen in Time Warp DIPA Template Rev 3 (2024-03-25)</t>
  </si>
  <si>
    <t>Named by owner 2026-09-23. Attenuation is your recipe figure.</t>
  </si>
  <si>
    <t>WLP077 Tropical Blend</t>
  </si>
  <si>
    <t>WLP077</t>
  </si>
  <si>
    <t>Your recipes (1); last seen in Mosaic Implications Rev 2 (2025-02-28)</t>
  </si>
  <si>
    <t>WLP300 Hefeweizen</t>
  </si>
  <si>
    <t>WLP300</t>
  </si>
  <si>
    <t>Your recipes (1); last seen in Holy Hefe Rev 3 (2026-01-22)</t>
  </si>
  <si>
    <t>WLP4061 Rhine Kölsch Ale</t>
  </si>
  <si>
    <t>WLP4061</t>
  </si>
  <si>
    <t>Your recipes (1); last seen in Kolsch Rev 3 (2024-04-29)</t>
  </si>
  <si>
    <t>Named by owner 2026-09-23; lab range 58-68 °F. Attenuation is your recipe figure.</t>
  </si>
  <si>
    <t>WLP530 Abbey Ale</t>
  </si>
  <si>
    <t>WLP530</t>
  </si>
  <si>
    <t>Your recipes (1); last seen in Trappist Single Rev 2.1 (2023-07-10)</t>
  </si>
  <si>
    <t>WLP830 German Lager</t>
  </si>
  <si>
    <t>WLP830</t>
  </si>
  <si>
    <t>Your recipes (3); last seen in NZ Pils Rev 3 (2026-09-22)</t>
  </si>
  <si>
    <t>Genetic same as L13, SafAle 3470</t>
  </si>
  <si>
    <t>WLP833 Bock</t>
  </si>
  <si>
    <t>WLP833</t>
  </si>
  <si>
    <t>Your recipes (1); last seen in West Coast Pils (2026-09-22)</t>
  </si>
  <si>
    <t>WLP840 American Lager</t>
  </si>
  <si>
    <t>WLP840</t>
  </si>
  <si>
    <t>Your recipes (1); last seen in American Light Lager Rev 3 (2023-04-03)</t>
  </si>
  <si>
    <t>1318 London Ale III</t>
  </si>
  <si>
    <t>Wyeast</t>
  </si>
  <si>
    <t>1318</t>
  </si>
  <si>
    <t>Your recipes (1); last seen in Hawaiian Hazy Rev 2.1 (2023-02-20)</t>
  </si>
  <si>
    <t>Genetic same as WLP 066, A38 Juice</t>
  </si>
  <si>
    <t>SafLager W-34/70</t>
  </si>
  <si>
    <t>Fermentis</t>
  </si>
  <si>
    <t>W-34/70</t>
  </si>
  <si>
    <t>Fermentis.com</t>
  </si>
  <si>
    <t>Genetic same as WLP 830, L13</t>
  </si>
  <si>
    <t>SafAle S-04</t>
  </si>
  <si>
    <t>S-04</t>
  </si>
  <si>
    <t>Genetic Same as A09</t>
  </si>
  <si>
    <t>SafAle US-05</t>
  </si>
  <si>
    <t>US-05</t>
  </si>
  <si>
    <t>Genetic same as WLP001, A07</t>
  </si>
  <si>
    <t>SafAle K-97</t>
  </si>
  <si>
    <t>K-97</t>
  </si>
  <si>
    <t>Genetic same as G03 Dieter</t>
  </si>
  <si>
    <t>Pack</t>
  </si>
  <si>
    <t>Cells (billion)</t>
  </si>
  <si>
    <t>Cost ($/billion cells)</t>
  </si>
  <si>
    <t>Imperial Pitch Right</t>
  </si>
  <si>
    <t>Costs Ref, Recipe Designer Template Rev 3 (2025-05-07)</t>
  </si>
  <si>
    <t>Wyeast Smack Pack</t>
  </si>
  <si>
    <t>White Labs PurePitch</t>
  </si>
  <si>
    <t>Omega Dry</t>
  </si>
  <si>
    <t>Omega Liquid</t>
  </si>
  <si>
    <t>Type</t>
  </si>
  <si>
    <t>Issue</t>
  </si>
  <si>
    <t>Detail</t>
  </si>
  <si>
    <t>What the seed does</t>
  </si>
  <si>
    <t>Your decision</t>
  </si>
  <si>
    <t>Malt</t>
  </si>
  <si>
    <t>Spellings merged into one row</t>
  </si>
  <si>
    <t>Also written as: American Crystal 040</t>
  </si>
  <si>
    <t>Merged: same ingredient (same price, pack, supplier and numbers)</t>
  </si>
  <si>
    <t>keep Crystal 40</t>
  </si>
  <si>
    <t>Also written as: American Crystal 060</t>
  </si>
  <si>
    <t>keep Crystal 60</t>
  </si>
  <si>
    <t>Also written as: American Crystal 080</t>
  </si>
  <si>
    <t>keep Crystal 80</t>
  </si>
  <si>
    <t>FGDB differs across your workbooks</t>
  </si>
  <si>
    <t>70% in 30 (latest 2026-09-22)
79% in 1 (latest 2023-03-31)</t>
  </si>
  <si>
    <t>Seeded 70%, the value you entered most often</t>
  </si>
  <si>
    <t>79% per Briess</t>
  </si>
  <si>
    <t>92% in 19 (latest 2026-09-22)
100% in 1 (latest 2025-02-13)</t>
  </si>
  <si>
    <t>Seeded 92%, the value you entered most often</t>
  </si>
  <si>
    <t>92% is correct</t>
  </si>
  <si>
    <t>Also written as: Dextrose (added in kettle)</t>
  </si>
  <si>
    <t>Dextrose is correct</t>
  </si>
  <si>
    <t>Cost per unit disagrees with price ÷ pack size</t>
  </si>
  <si>
    <t>Old sheet cost $1.990/lb; price ÷ pack size gives $0.995/lb.</t>
  </si>
  <si>
    <t>This sheet computes cost from price and pack size, so it shows the new figure</t>
  </si>
  <si>
    <t>use $0.995/lb</t>
  </si>
  <si>
    <t>81% in 36 (latest 2026-09-22)
80% in 8 (latest 2026-06-16)
79.6% in 1 (latest 2023-11-01)</t>
  </si>
  <si>
    <t>Seeded 81%, the value you entered most often</t>
  </si>
  <si>
    <t>81% please</t>
  </si>
  <si>
    <t>Colour differs across your workbooks</t>
  </si>
  <si>
    <t>2.2 °L in 39 (latest 2026-09-22)
1.9 °L in 6 (latest 2024-06-05)</t>
  </si>
  <si>
    <t>Seeded 2.2 °L, the value you entered most often</t>
  </si>
  <si>
    <t>2.2L please</t>
  </si>
  <si>
    <t>Also written as: Golden Promise</t>
  </si>
  <si>
    <t>fine</t>
  </si>
  <si>
    <t>Also written as: Lactose (added in kettle)</t>
  </si>
  <si>
    <t>0% in 44 (latest 2026-09-22)
70% in 1 (latest 2023-01-09)</t>
  </si>
  <si>
    <t>Seeded 0%, the value you entered most often</t>
  </si>
  <si>
    <t>I can't find a FGDB on the Briess website. I use so little it won't make a difference. Tertiary sources show ~75%</t>
  </si>
  <si>
    <t>Looks like a data-entry slip (kept as you had it)</t>
  </si>
  <si>
    <t>FGDB is 0% in 44 copies and 70% in one. A roasted malt still yields extract; at 0% it adds colour but no gravity. Check the maltster spec.</t>
  </si>
  <si>
    <t>Your call</t>
  </si>
  <si>
    <t>Also written as: Pilsner, Pilsner, Rahr North Star, Pilsener, North Star Pilsner Malt</t>
  </si>
  <si>
    <t>good as written</t>
  </si>
  <si>
    <t>3.3 °L in 37 (latest 2026-09-22)
2.75 °L in 5 (latest 2026-06-16)</t>
  </si>
  <si>
    <t>Seeded 3.3 °L, the value you entered most often</t>
  </si>
  <si>
    <t xml:space="preserve">use 2.0L </t>
  </si>
  <si>
    <t>White Wheat</t>
  </si>
  <si>
    <t>Also written as: White Wheat Malt</t>
  </si>
  <si>
    <t>use White Wheat Malt</t>
  </si>
  <si>
    <t>Hop</t>
  </si>
  <si>
    <t>Alpha acid differs across your workbooks</t>
  </si>
  <si>
    <t>14.2% in 39 (latest 2026-09-22)
14.7% in 6 (latest 2026-09-22)</t>
  </si>
  <si>
    <t>Seeded 14.2%, the value you entered most often</t>
  </si>
  <si>
    <t>14.4% is fine</t>
  </si>
  <si>
    <t>6.2% in 1 (latest 2026-09-22)
10% in 1 (latest 2025-10-29)
5% in 1 (latest 2025-08-18)
5.75% in 1 (latest 2024-12-26)</t>
  </si>
  <si>
    <t>Seeded 6.2%, the value you entered most often</t>
  </si>
  <si>
    <t>6.2% is fine</t>
  </si>
  <si>
    <t>5.5% in 40 (latest 2026-09-22)
4.8% in 3 (latest 2025-04-07)
4.2% in 2 (latest 2023-11-01)</t>
  </si>
  <si>
    <t>Seeded 5.5%, the value you entered most often</t>
  </si>
  <si>
    <t>5.5% is fine</t>
  </si>
  <si>
    <t>5% in 41 (latest 2026-09-22)
4.6% in 2 (latest 2023-11-01)
5.6% in 1 (latest 2023-11-04)
4.4% in 1 (latest 2023-03-31)</t>
  </si>
  <si>
    <t>Seeded 5%, the value you entered most often</t>
  </si>
  <si>
    <t>5% is fine</t>
  </si>
  <si>
    <t>15% in 8 (latest 2026-09-22)
15.5% in 1 (latest 2025-10-29)</t>
  </si>
  <si>
    <t>Seeded 15%, the value you entered most often</t>
  </si>
  <si>
    <t>15% is fine</t>
  </si>
  <si>
    <t>10.5% in 33 (latest 2026-09-22)
9.3% in 1 (latest 2025-02-13)</t>
  </si>
  <si>
    <t>Seeded 10.5%, the value you entered most often</t>
  </si>
  <si>
    <t>10.5% is fine</t>
  </si>
  <si>
    <t>4.2% in 41 (latest 2026-09-22)
2.9% in 2 (latest 2026-01-22)
2.8% in 2 (latest 2024-06-22)</t>
  </si>
  <si>
    <t>Seeded 4.2%, the value you entered most often</t>
  </si>
  <si>
    <t>use 2.9%</t>
  </si>
  <si>
    <t>Old sheet cost $0.609/oz; price ÷ pack size gives $1.219/oz.</t>
  </si>
  <si>
    <t>ok</t>
  </si>
  <si>
    <t>7% in 33 (latest 2026-09-22)
9.1% in 1 (latest 2025-02-13)</t>
  </si>
  <si>
    <t>Seeded 7%, the value you entered most often</t>
  </si>
  <si>
    <t>use 7%</t>
  </si>
  <si>
    <t>4.9% in 25 (latest 2026-09-22)
6% in 1 (latest 2023-03-09)</t>
  </si>
  <si>
    <t>Seeded 4.9%, the value you entered most often</t>
  </si>
  <si>
    <t>4.9% is fine</t>
  </si>
  <si>
    <t>Also written as: Mt Hood, Mt. Hood</t>
  </si>
  <si>
    <t>Price is $23 for 2 oz ($11.50/oz) in most copies but $2 in your 5-gal template; $23 looks like a typo.</t>
  </si>
  <si>
    <t>use $2</t>
  </si>
  <si>
    <t>9% in 1 (latest 2026-09-22)
11% in 1 (latest 2026-07-05)
12% in 1 (latest 2024-12-26)</t>
  </si>
  <si>
    <t>Seeded 9%, the value you entered most often</t>
  </si>
  <si>
    <t>9% is fine</t>
  </si>
  <si>
    <t>12.5% in 32 (latest 2026-09-22)
11.7% in 1 (latest 2025-02-21)
9.6% in 1 (latest 2025-02-13)</t>
  </si>
  <si>
    <t>Seeded 12.5%, the value you entered most often</t>
  </si>
  <si>
    <t>12.5 is fine</t>
  </si>
  <si>
    <t>9.5% in 44 (latest 2026-09-22)
7.8% in 1 (latest 2024-02-06)</t>
  </si>
  <si>
    <t>Seeded 9.5%, the value you entered most often</t>
  </si>
  <si>
    <t>9.5 is fine</t>
  </si>
  <si>
    <t>2.6% in 2 (latest 2026-01-22)
3% in 1 (latest 2025-04-27)</t>
  </si>
  <si>
    <t>Seeded 2.6%, the value you entered most often</t>
  </si>
  <si>
    <t>2.6 is fine</t>
  </si>
  <si>
    <t>Also written as: Tettnang</t>
  </si>
  <si>
    <t>Yeast</t>
  </si>
  <si>
    <t>Cosmic Punch</t>
  </si>
  <si>
    <t>Brand and strain disagree in a recipe</t>
  </si>
  <si>
    <t>Logged under the White Labs Pure Pitch pack in a recipe, but this is a Omega strain.</t>
  </si>
  <si>
    <t>Listed under Omega</t>
  </si>
  <si>
    <t>G17</t>
  </si>
  <si>
    <t>Strain name missing</t>
  </si>
  <si>
    <t>Recorded only as "G17"; the strain name was never written down.</t>
  </si>
  <si>
    <t>Fill in the name</t>
  </si>
  <si>
    <t>it is L17 Global from Imperial</t>
  </si>
  <si>
    <t>Product code looks unusual</t>
  </si>
  <si>
    <t>Used as a lager in your Helles. Imperial numbers its lager strains with an L (e.g. L17 Harvest), so G17 may be a slip.</t>
  </si>
  <si>
    <t>Kept as recorded</t>
  </si>
  <si>
    <t>Also written as: Lutra, Omega Lutra, OYL-071 Lutra</t>
  </si>
  <si>
    <t>Merged: same product code</t>
  </si>
  <si>
    <t>Recorded only as "OLY-402"; the strain name was never written down.</t>
  </si>
  <si>
    <t>Omega Cosmic Punch</t>
  </si>
  <si>
    <t>OYL-402 / Cosmic Punch</t>
  </si>
  <si>
    <t>Possibly the same strain on two rows</t>
  </si>
  <si>
    <t>Omega sells Cosmic Punch as OYL-402, to my knowledge; one recipe records "OLY-402" and two record "Cosmic Punch".</t>
  </si>
  <si>
    <t>Kept as two rows; merge them if they are the same</t>
  </si>
  <si>
    <t>Also written as: WLP001, WPL 001, WLP 001</t>
  </si>
  <si>
    <t>Recorded only as "WPL 075"; the strain name was never written down.</t>
  </si>
  <si>
    <t>Hansen Ale Blend</t>
  </si>
  <si>
    <t>Recorded only as "WLP4061"; the strain name was never written down.</t>
  </si>
  <si>
    <t>Rhine Kölsch Ale</t>
  </si>
  <si>
    <t>Also written as: WLP 830, WLP 830 German Lager, 830 German lager</t>
  </si>
  <si>
    <t>Malt type</t>
  </si>
  <si>
    <t>Distilled-water pH</t>
  </si>
  <si>
    <t>Acidity (mEq/kg)</t>
  </si>
  <si>
    <t>base</t>
  </si>
  <si>
    <t>crystal</t>
  </si>
  <si>
    <t>none</t>
  </si>
  <si>
    <t>roast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</si>
</sst>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0"/>
    <numFmt numFmtId="166" formatCode="\$#,##0.000"/>
    <numFmt numFmtId="167" formatCode="\$#,##0.0000"/>
  </numFmts>
  <fonts count="10" x14ac:knownFonts="1">
    <font>
      <sz val="11"/>
      <color theme="1"/>
      <name val="Calibri"/>
      <family val="2"/>
      <scheme val="minor"/>
    </font>
    <font>
      <b/>
      <sz val="14"/>
      <name val="Arial"/>
      <family val="2"/>
    </font>
    <font>
      <sz val="10"/>
      <name val="Arial"/>
      <family val="2"/>
    </font>
    <font>
      <b/>
      <sz val="10"/>
      <name val="Arial"/>
      <family val="2"/>
    </font>
    <font>
      <b/>
      <sz val="11"/>
      <color rgb="FF0000FF"/>
      <name val="Arial"/>
      <family val="2"/>
    </font>
    <font>
      <b/>
      <sz val="11"/>
      <name val="Arial"/>
      <family val="2"/>
    </font>
    <font>
      <sz val="11"/>
      <color rgb="FF0000FF"/>
      <name val="Arial"/>
      <family val="2"/>
    </font>
    <font>
      <sz val="11"/>
      <color rgb="FF000000"/>
      <name val="Arial"/>
      <family val="2"/>
    </font>
    <font>
      <sz val="11"/>
      <color theme="1"/>
      <name val="Arial"/>
      <family val="2"/>
    </font>
    <font>
      <b/>
      <sz val="11"/>
      <name val="Calibri"/>
      <family val="2"/>
    </font>
  </fonts>
  <fills count="5">
    <fill>
      <patternFill patternType="none"/>
    </fill>
    <fill>
      <patternFill patternType="gray125"/>
    </fill>
    <fill>
      <patternFill patternType="solid">
        <fgColor rgb="FFFFFF00"/>
      </patternFill>
    </fill>
    <fill>
      <patternFill patternType="solid">
        <fgColor rgb="FFDDE6EF"/>
      </patternFill>
    </fill>
    <fill>
      <patternFill patternType="solid">
        <fgColor rgb="FFFFF2CC"/>
      </patternFill>
    </fill>
  </fills>
  <borders count="1">
    <border>
      <left/>
      <right/>
      <top/>
      <bottom/>
      <diagonal/>
    </border>
  </borders>
  <cellStyleXfs count="1">
    <xf numFmtId="0" fontId="0" fillId="0" borderId="0"/>
  </cellStyleXfs>
  <cellXfs count="16">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xf>
    <xf numFmtId="0" fontId="4" fillId="0" borderId="0" xfId="0" applyFont="1" applyAlignment="1">
      <alignment vertical="top"/>
    </xf>
    <xf numFmtId="0" fontId="3" fillId="2" borderId="0" xfId="0" applyFont="1" applyFill="1" applyAlignment="1">
      <alignment vertical="top"/>
    </xf>
    <xf numFmtId="0" fontId="5" fillId="3" borderId="0" xfId="0" applyFont="1" applyFill="1" applyAlignment="1">
      <alignment vertical="center" wrapText="1"/>
    </xf>
    <xf numFmtId="0" fontId="6" fillId="0" borderId="0" xfId="0" applyFont="1" applyAlignment="1">
      <alignment vertical="top" wrapText="1"/>
    </xf>
    <xf numFmtId="164" fontId="6" fillId="0" borderId="0" xfId="0" applyNumberFormat="1" applyFont="1" applyAlignment="1">
      <alignment vertical="top" wrapText="1"/>
    </xf>
    <xf numFmtId="165" fontId="6" fillId="0" borderId="0" xfId="0" applyNumberFormat="1" applyFont="1" applyAlignment="1">
      <alignment vertical="top" wrapText="1"/>
    </xf>
    <xf numFmtId="166" fontId="7" fillId="0" borderId="0" xfId="0" applyNumberFormat="1" applyFont="1" applyAlignment="1">
      <alignment vertical="top" wrapText="1"/>
    </xf>
    <xf numFmtId="0" fontId="8" fillId="0" borderId="0" xfId="0" applyFont="1"/>
    <xf numFmtId="9" fontId="8" fillId="0" borderId="0" xfId="0" applyNumberFormat="1" applyFont="1"/>
    <xf numFmtId="167" fontId="7" fillId="0" borderId="0" xfId="0" applyNumberFormat="1" applyFont="1" applyAlignment="1">
      <alignment vertical="top" wrapText="1"/>
    </xf>
    <xf numFmtId="0" fontId="9" fillId="4" borderId="0" xfId="0" applyFont="1" applyFill="1" applyAlignment="1">
      <alignment vertical="center" wrapText="1"/>
    </xf>
    <xf numFmtId="0" fontId="0" fillId="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9"/>
  <sheetViews>
    <sheetView zoomScaleNormal="100" workbookViewId="0">
      <selection activeCell="B3" sqref="B3"/>
    </sheetView>
  </sheetViews>
  <sheetFormatPr defaultRowHeight="14.4" customHeight="1" x14ac:dyDescent="0.3"/>
  <cols>
    <col min="1" max="1" width="26" customWidth="1"/>
    <col min="2" max="2" width="100" customWidth="1"/>
  </cols>
  <sheetData>
    <row r="1" spans="1:2" ht="17.399999999999999" customHeight="1" x14ac:dyDescent="0.3">
      <c r="A1" s="1" t="s">
        <v>0</v>
      </c>
      <c r="B1" s="2"/>
    </row>
    <row r="2" spans="1:2" x14ac:dyDescent="0.3">
      <c r="A2" s="3" t="s">
        <v>1</v>
      </c>
      <c r="B2" s="2" t="s">
        <v>1</v>
      </c>
    </row>
    <row r="3" spans="1:2" ht="26.4" customHeight="1" x14ac:dyDescent="0.3">
      <c r="A3" s="3" t="s">
        <v>2</v>
      </c>
      <c r="B3" s="2" t="s">
        <v>3</v>
      </c>
    </row>
    <row r="4" spans="1:2" ht="26.4" customHeight="1" x14ac:dyDescent="0.3">
      <c r="A4" s="3" t="s">
        <v>4</v>
      </c>
      <c r="B4" s="2" t="s">
        <v>5</v>
      </c>
    </row>
    <row r="5" spans="1:2" ht="39.6" customHeight="1" x14ac:dyDescent="0.3">
      <c r="A5" s="3" t="s">
        <v>6</v>
      </c>
      <c r="B5" s="2" t="s">
        <v>7</v>
      </c>
    </row>
    <row r="6" spans="1:2" ht="39.6" customHeight="1" x14ac:dyDescent="0.3">
      <c r="A6" s="3" t="s">
        <v>8</v>
      </c>
      <c r="B6" s="2" t="s">
        <v>9</v>
      </c>
    </row>
    <row r="7" spans="1:2" ht="26.4" customHeight="1" x14ac:dyDescent="0.3">
      <c r="A7" s="3" t="s">
        <v>10</v>
      </c>
      <c r="B7" s="2" t="s">
        <v>11</v>
      </c>
    </row>
    <row r="8" spans="1:2" ht="26.4" customHeight="1" x14ac:dyDescent="0.3">
      <c r="A8" s="3" t="s">
        <v>12</v>
      </c>
      <c r="B8" s="2" t="s">
        <v>13</v>
      </c>
    </row>
    <row r="9" spans="1:2" ht="39.6" x14ac:dyDescent="0.3">
      <c r="A9" s="3" t="s">
        <v>14</v>
      </c>
      <c r="B9" s="2" t="s">
        <v>15</v>
      </c>
    </row>
    <row r="10" spans="1:2" x14ac:dyDescent="0.3">
      <c r="A10" s="3" t="s">
        <v>1</v>
      </c>
      <c r="B10" s="2" t="s">
        <v>1</v>
      </c>
    </row>
    <row r="11" spans="1:2" x14ac:dyDescent="0.3">
      <c r="A11" s="3" t="s">
        <v>16</v>
      </c>
      <c r="B11" s="2" t="s">
        <v>1</v>
      </c>
    </row>
    <row r="12" spans="1:2" x14ac:dyDescent="0.3">
      <c r="A12" s="4" t="s">
        <v>17</v>
      </c>
      <c r="B12" s="2" t="s">
        <v>18</v>
      </c>
    </row>
    <row r="13" spans="1:2" x14ac:dyDescent="0.3">
      <c r="A13" s="3" t="s">
        <v>19</v>
      </c>
      <c r="B13" s="2" t="s">
        <v>20</v>
      </c>
    </row>
    <row r="14" spans="1:2" x14ac:dyDescent="0.3">
      <c r="A14" s="5" t="s">
        <v>21</v>
      </c>
      <c r="B14" s="2" t="s">
        <v>22</v>
      </c>
    </row>
    <row r="15" spans="1:2" ht="26.4" customHeight="1" x14ac:dyDescent="0.3">
      <c r="A15" s="3" t="s">
        <v>23</v>
      </c>
      <c r="B15" s="2" t="s">
        <v>24</v>
      </c>
    </row>
    <row r="16" spans="1:2" ht="26.4" customHeight="1" x14ac:dyDescent="0.3">
      <c r="A16" s="3" t="s">
        <v>25</v>
      </c>
      <c r="B16" s="2" t="s">
        <v>26</v>
      </c>
    </row>
    <row r="17" spans="1:2" x14ac:dyDescent="0.3">
      <c r="A17" s="3" t="s">
        <v>1</v>
      </c>
      <c r="B17" s="2" t="s">
        <v>1</v>
      </c>
    </row>
    <row r="18" spans="1:2" ht="26.4" customHeight="1" x14ac:dyDescent="0.3">
      <c r="A18" s="3" t="s">
        <v>27</v>
      </c>
      <c r="B18" s="2" t="s">
        <v>28</v>
      </c>
    </row>
    <row r="19" spans="1:2" x14ac:dyDescent="0.3">
      <c r="A19" s="3" t="s">
        <v>29</v>
      </c>
      <c r="B19" s="2" t="s">
        <v>30</v>
      </c>
    </row>
  </sheetData>
  <pageMargins left="0.7" right="0.7" top="0.75" bottom="0.75" header="0.3" footer="0.3"/>
  <pageSetup orientation="portrait" useFirstPageNumber="1" horizontalDpi="4294967295" verticalDpi="429496729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P43"/>
  <sheetViews>
    <sheetView tabSelected="1" topLeftCell="J1" zoomScaleNormal="100" workbookViewId="0">
      <pane ySplit="1" topLeftCell="A2" activePane="bottomLeft" state="frozen"/>
      <selection pane="bottomLeft" activeCell="N1" sqref="N1:P1048576"/>
    </sheetView>
  </sheetViews>
  <sheetFormatPr defaultRowHeight="14.4" customHeight="1" x14ac:dyDescent="0.3"/>
  <cols>
    <col min="1" max="1" width="30" customWidth="1"/>
    <col min="2" max="2" width="14" customWidth="1"/>
    <col min="3" max="5" width="10" customWidth="1"/>
    <col min="8" max="8" width="14" customWidth="1"/>
    <col min="9" max="9" width="11" customWidth="1"/>
    <col min="10" max="10" width="14" customWidth="1"/>
    <col min="11" max="11" width="38" customWidth="1"/>
    <col min="12" max="12" width="11" customWidth="1"/>
    <col min="13" max="13" width="60" customWidth="1"/>
    <col min="14" max="16" width="16" customWidth="1"/>
  </cols>
  <sheetData>
    <row r="1" spans="1:16" s="6" customFormat="1" ht="31.95" customHeight="1" x14ac:dyDescent="0.3">
      <c r="A1" s="6" t="s">
        <v>31</v>
      </c>
      <c r="B1" s="6" t="s">
        <v>32</v>
      </c>
      <c r="C1" s="6" t="s">
        <v>33</v>
      </c>
      <c r="D1" s="6" t="s">
        <v>34</v>
      </c>
      <c r="E1" s="6" t="s">
        <v>35</v>
      </c>
      <c r="F1" s="6" t="s">
        <v>36</v>
      </c>
      <c r="G1" s="6" t="s">
        <v>37</v>
      </c>
      <c r="H1" s="6" t="s">
        <v>38</v>
      </c>
      <c r="I1" s="6" t="s">
        <v>39</v>
      </c>
      <c r="J1" s="6" t="s">
        <v>40</v>
      </c>
      <c r="K1" s="6" t="s">
        <v>41</v>
      </c>
      <c r="L1" s="6" t="s">
        <v>42</v>
      </c>
      <c r="M1" s="6" t="s">
        <v>43</v>
      </c>
      <c r="N1" s="14" t="s">
        <v>468</v>
      </c>
      <c r="O1" s="14" t="s">
        <v>469</v>
      </c>
      <c r="P1" s="14" t="s">
        <v>470</v>
      </c>
    </row>
    <row r="2" spans="1:16" ht="27.6" customHeight="1" x14ac:dyDescent="0.3">
      <c r="A2" s="7" t="s">
        <v>44</v>
      </c>
      <c r="B2" s="7" t="s">
        <v>1</v>
      </c>
      <c r="C2" s="8">
        <v>0.82</v>
      </c>
      <c r="D2" s="7">
        <v>2.2000000000000002</v>
      </c>
      <c r="E2" s="9">
        <v>64.989999999999995</v>
      </c>
      <c r="F2" s="7">
        <v>55</v>
      </c>
      <c r="G2" s="7" t="s">
        <v>45</v>
      </c>
      <c r="H2" s="7" t="s">
        <v>46</v>
      </c>
      <c r="I2" s="10">
        <f t="shared" ref="I2:I43" si="0">IF(OR(E2="",F2=""),"",E2/IF(G2="oz",F2/16,F2))</f>
        <v>1.1816363636363636</v>
      </c>
      <c r="J2" s="7">
        <v>45</v>
      </c>
      <c r="K2" s="7" t="s">
        <v>47</v>
      </c>
      <c r="L2" s="7" t="s">
        <v>48</v>
      </c>
      <c r="M2" s="7" t="s">
        <v>1</v>
      </c>
      <c r="N2" s="15" t="s">
        <v>471</v>
      </c>
      <c r="O2" s="15"/>
      <c r="P2" s="15"/>
    </row>
    <row r="3" spans="1:16" ht="27.6" customHeight="1" x14ac:dyDescent="0.3">
      <c r="A3" s="7" t="s">
        <v>49</v>
      </c>
      <c r="B3" s="7" t="s">
        <v>1</v>
      </c>
      <c r="C3" s="8">
        <v>0.75</v>
      </c>
      <c r="D3" s="7">
        <v>120</v>
      </c>
      <c r="E3" s="9">
        <v>2.4900000000000002</v>
      </c>
      <c r="F3" s="7">
        <v>1</v>
      </c>
      <c r="G3" s="7" t="s">
        <v>45</v>
      </c>
      <c r="H3" s="7" t="s">
        <v>46</v>
      </c>
      <c r="I3" s="10">
        <f t="shared" si="0"/>
        <v>2.4900000000000002</v>
      </c>
      <c r="J3" s="7">
        <v>45</v>
      </c>
      <c r="K3" s="7" t="s">
        <v>47</v>
      </c>
      <c r="L3" s="7" t="s">
        <v>48</v>
      </c>
      <c r="M3" s="7" t="s">
        <v>1</v>
      </c>
      <c r="N3" s="15" t="s">
        <v>472</v>
      </c>
      <c r="O3" s="15"/>
      <c r="P3" s="15"/>
    </row>
    <row r="4" spans="1:16" ht="27.6" customHeight="1" x14ac:dyDescent="0.3">
      <c r="A4" s="7" t="s">
        <v>50</v>
      </c>
      <c r="B4" s="7" t="s">
        <v>1</v>
      </c>
      <c r="C4" s="8">
        <v>0.77</v>
      </c>
      <c r="D4" s="7">
        <v>40</v>
      </c>
      <c r="E4" s="9">
        <v>2.4900000000000002</v>
      </c>
      <c r="F4" s="7">
        <v>1</v>
      </c>
      <c r="G4" s="7" t="s">
        <v>45</v>
      </c>
      <c r="H4" s="7" t="s">
        <v>46</v>
      </c>
      <c r="I4" s="10">
        <f t="shared" si="0"/>
        <v>2.4900000000000002</v>
      </c>
      <c r="J4" s="7">
        <v>45</v>
      </c>
      <c r="K4" s="7" t="s">
        <v>47</v>
      </c>
      <c r="L4" s="7" t="s">
        <v>51</v>
      </c>
      <c r="M4" s="7" t="s">
        <v>52</v>
      </c>
      <c r="N4" s="15" t="s">
        <v>472</v>
      </c>
      <c r="O4" s="15"/>
      <c r="P4" s="15"/>
    </row>
    <row r="5" spans="1:16" ht="27.6" customHeight="1" x14ac:dyDescent="0.3">
      <c r="A5" s="7" t="s">
        <v>53</v>
      </c>
      <c r="B5" s="7" t="s">
        <v>1</v>
      </c>
      <c r="C5" s="8">
        <v>0.76</v>
      </c>
      <c r="D5" s="7">
        <v>60</v>
      </c>
      <c r="E5" s="9">
        <v>2.4900000000000002</v>
      </c>
      <c r="F5" s="7">
        <v>1</v>
      </c>
      <c r="G5" s="7" t="s">
        <v>45</v>
      </c>
      <c r="H5" s="7" t="s">
        <v>46</v>
      </c>
      <c r="I5" s="10">
        <f t="shared" si="0"/>
        <v>2.4900000000000002</v>
      </c>
      <c r="J5" s="7">
        <v>45</v>
      </c>
      <c r="K5" s="7" t="s">
        <v>47</v>
      </c>
      <c r="L5" s="7" t="s">
        <v>51</v>
      </c>
      <c r="M5" s="7" t="s">
        <v>54</v>
      </c>
      <c r="N5" s="15" t="s">
        <v>472</v>
      </c>
      <c r="O5" s="15"/>
      <c r="P5" s="15"/>
    </row>
    <row r="6" spans="1:16" ht="27.6" customHeight="1" x14ac:dyDescent="0.3">
      <c r="A6" s="7" t="s">
        <v>55</v>
      </c>
      <c r="B6" s="7" t="s">
        <v>1</v>
      </c>
      <c r="C6" s="8">
        <v>0.76</v>
      </c>
      <c r="D6" s="7">
        <v>80</v>
      </c>
      <c r="E6" s="9">
        <v>2.59</v>
      </c>
      <c r="F6" s="7">
        <v>1</v>
      </c>
      <c r="G6" s="7" t="s">
        <v>45</v>
      </c>
      <c r="H6" s="7" t="s">
        <v>56</v>
      </c>
      <c r="I6" s="10">
        <f t="shared" si="0"/>
        <v>2.59</v>
      </c>
      <c r="J6" s="7">
        <v>1</v>
      </c>
      <c r="K6" s="7" t="s">
        <v>57</v>
      </c>
      <c r="L6" s="7" t="s">
        <v>51</v>
      </c>
      <c r="M6" s="7" t="s">
        <v>58</v>
      </c>
      <c r="N6" s="15" t="s">
        <v>472</v>
      </c>
      <c r="O6" s="15"/>
      <c r="P6" s="15"/>
    </row>
    <row r="7" spans="1:16" ht="27.6" customHeight="1" x14ac:dyDescent="0.3">
      <c r="A7" s="7" t="s">
        <v>59</v>
      </c>
      <c r="B7" s="7" t="s">
        <v>1</v>
      </c>
      <c r="C7" s="8">
        <v>0.79</v>
      </c>
      <c r="D7" s="7">
        <v>20</v>
      </c>
      <c r="E7" s="9">
        <v>2.69</v>
      </c>
      <c r="F7" s="7">
        <v>1</v>
      </c>
      <c r="G7" s="7" t="s">
        <v>45</v>
      </c>
      <c r="H7" s="7" t="s">
        <v>46</v>
      </c>
      <c r="I7" s="10">
        <f t="shared" si="0"/>
        <v>2.69</v>
      </c>
      <c r="J7" s="7">
        <v>31</v>
      </c>
      <c r="K7" s="7" t="s">
        <v>60</v>
      </c>
      <c r="L7" s="7" t="s">
        <v>51</v>
      </c>
      <c r="M7" s="7" t="s">
        <v>61</v>
      </c>
      <c r="N7" s="15" t="s">
        <v>472</v>
      </c>
      <c r="O7" s="15"/>
      <c r="P7" s="15">
        <v>14.2</v>
      </c>
    </row>
    <row r="8" spans="1:16" ht="27.6" customHeight="1" x14ac:dyDescent="0.3">
      <c r="A8" s="7" t="s">
        <v>62</v>
      </c>
      <c r="B8" s="7" t="s">
        <v>1</v>
      </c>
      <c r="C8" s="8">
        <v>1</v>
      </c>
      <c r="D8" s="7">
        <v>0</v>
      </c>
      <c r="E8" s="9">
        <v>5.99</v>
      </c>
      <c r="F8" s="7">
        <v>1</v>
      </c>
      <c r="G8" s="7" t="s">
        <v>45</v>
      </c>
      <c r="H8" s="7" t="s">
        <v>46</v>
      </c>
      <c r="I8" s="10">
        <f t="shared" si="0"/>
        <v>5.99</v>
      </c>
      <c r="J8" s="7">
        <v>31</v>
      </c>
      <c r="K8" s="7" t="s">
        <v>63</v>
      </c>
      <c r="L8" s="7" t="s">
        <v>48</v>
      </c>
      <c r="M8" s="7" t="s">
        <v>1</v>
      </c>
      <c r="N8" s="15" t="s">
        <v>473</v>
      </c>
      <c r="O8" s="15"/>
      <c r="P8" s="15"/>
    </row>
    <row r="9" spans="1:16" ht="27.6" customHeight="1" x14ac:dyDescent="0.3">
      <c r="A9" s="7" t="s">
        <v>64</v>
      </c>
      <c r="B9" s="7" t="s">
        <v>1</v>
      </c>
      <c r="C9" s="8">
        <v>0.78</v>
      </c>
      <c r="D9" s="7">
        <v>10</v>
      </c>
      <c r="E9" s="9">
        <v>55</v>
      </c>
      <c r="F9" s="7">
        <v>50</v>
      </c>
      <c r="G9" s="7" t="s">
        <v>45</v>
      </c>
      <c r="H9" s="7" t="s">
        <v>46</v>
      </c>
      <c r="I9" s="10">
        <f t="shared" si="0"/>
        <v>1.1000000000000001</v>
      </c>
      <c r="J9" s="7">
        <v>45</v>
      </c>
      <c r="K9" s="7" t="s">
        <v>47</v>
      </c>
      <c r="L9" s="7" t="s">
        <v>48</v>
      </c>
      <c r="M9" s="7" t="s">
        <v>1</v>
      </c>
      <c r="N9" s="15" t="s">
        <v>471</v>
      </c>
      <c r="O9" s="15"/>
      <c r="P9" s="15"/>
    </row>
    <row r="10" spans="1:16" ht="27.6" customHeight="1" x14ac:dyDescent="0.3">
      <c r="A10" s="7" t="s">
        <v>65</v>
      </c>
      <c r="B10" s="7" t="s">
        <v>1</v>
      </c>
      <c r="C10" s="8">
        <v>0.74</v>
      </c>
      <c r="D10" s="7">
        <v>5</v>
      </c>
      <c r="E10" s="9">
        <v>7</v>
      </c>
      <c r="F10" s="7">
        <v>1</v>
      </c>
      <c r="G10" s="7" t="s">
        <v>45</v>
      </c>
      <c r="H10" s="7" t="s">
        <v>46</v>
      </c>
      <c r="I10" s="10">
        <f t="shared" si="0"/>
        <v>7</v>
      </c>
      <c r="J10" s="7">
        <v>1</v>
      </c>
      <c r="K10" s="7" t="s">
        <v>66</v>
      </c>
      <c r="L10" s="7" t="s">
        <v>48</v>
      </c>
      <c r="M10" s="7" t="s">
        <v>1</v>
      </c>
      <c r="N10" s="15" t="s">
        <v>473</v>
      </c>
      <c r="O10" s="15"/>
      <c r="P10" s="15"/>
    </row>
    <row r="11" spans="1:16" ht="27.6" customHeight="1" x14ac:dyDescent="0.3">
      <c r="A11" s="7" t="s">
        <v>67</v>
      </c>
      <c r="B11" s="7" t="s">
        <v>1</v>
      </c>
      <c r="C11" s="8">
        <v>0.65</v>
      </c>
      <c r="D11" s="7">
        <v>430</v>
      </c>
      <c r="E11" s="9">
        <v>2.99</v>
      </c>
      <c r="F11" s="7">
        <v>1</v>
      </c>
      <c r="G11" s="7" t="s">
        <v>45</v>
      </c>
      <c r="H11" s="7" t="s">
        <v>46</v>
      </c>
      <c r="I11" s="10">
        <f t="shared" si="0"/>
        <v>2.99</v>
      </c>
      <c r="J11" s="7">
        <v>32</v>
      </c>
      <c r="K11" s="7" t="s">
        <v>68</v>
      </c>
      <c r="L11" s="7" t="s">
        <v>48</v>
      </c>
      <c r="M11" s="7" t="s">
        <v>1</v>
      </c>
      <c r="N11" s="15" t="s">
        <v>474</v>
      </c>
      <c r="O11" s="15"/>
      <c r="P11" s="15"/>
    </row>
    <row r="12" spans="1:16" ht="27.6" customHeight="1" x14ac:dyDescent="0.3">
      <c r="A12" s="7" t="s">
        <v>69</v>
      </c>
      <c r="B12" s="7" t="s">
        <v>1</v>
      </c>
      <c r="C12" s="8">
        <v>0.8</v>
      </c>
      <c r="D12" s="7">
        <v>2</v>
      </c>
      <c r="E12" s="9">
        <v>2.99</v>
      </c>
      <c r="F12" s="7">
        <v>1</v>
      </c>
      <c r="G12" s="7" t="s">
        <v>45</v>
      </c>
      <c r="H12" s="7" t="s">
        <v>46</v>
      </c>
      <c r="I12" s="10">
        <f t="shared" si="0"/>
        <v>2.99</v>
      </c>
      <c r="J12" s="7">
        <v>40</v>
      </c>
      <c r="K12" s="7" t="s">
        <v>70</v>
      </c>
      <c r="L12" s="7" t="s">
        <v>48</v>
      </c>
      <c r="M12" s="7" t="s">
        <v>1</v>
      </c>
      <c r="N12" s="15" t="s">
        <v>471</v>
      </c>
      <c r="O12" s="15"/>
      <c r="P12" s="15"/>
    </row>
    <row r="13" spans="1:16" ht="27.6" customHeight="1" x14ac:dyDescent="0.3">
      <c r="A13" s="7" t="s">
        <v>71</v>
      </c>
      <c r="B13" s="7" t="s">
        <v>1</v>
      </c>
      <c r="C13" s="8">
        <v>0.75</v>
      </c>
      <c r="D13" s="7">
        <v>47</v>
      </c>
      <c r="E13" s="9">
        <v>2.5</v>
      </c>
      <c r="F13" s="7">
        <v>1</v>
      </c>
      <c r="G13" s="7" t="s">
        <v>45</v>
      </c>
      <c r="H13" s="7" t="s">
        <v>72</v>
      </c>
      <c r="I13" s="10">
        <f t="shared" si="0"/>
        <v>2.5</v>
      </c>
      <c r="J13" s="7">
        <v>1</v>
      </c>
      <c r="K13" s="7" t="s">
        <v>73</v>
      </c>
      <c r="L13" s="7" t="s">
        <v>48</v>
      </c>
      <c r="M13" s="7" t="s">
        <v>1</v>
      </c>
      <c r="N13" s="15" t="s">
        <v>472</v>
      </c>
      <c r="O13" s="15"/>
      <c r="P13" s="15"/>
    </row>
    <row r="14" spans="1:16" ht="27.6" customHeight="1" x14ac:dyDescent="0.3">
      <c r="A14" s="7" t="s">
        <v>74</v>
      </c>
      <c r="B14" s="7" t="s">
        <v>1</v>
      </c>
      <c r="C14" s="8">
        <v>0.72</v>
      </c>
      <c r="D14" s="7">
        <v>250</v>
      </c>
      <c r="E14" s="9">
        <v>3.19</v>
      </c>
      <c r="F14" s="7">
        <v>1</v>
      </c>
      <c r="G14" s="7" t="s">
        <v>45</v>
      </c>
      <c r="H14" s="7" t="s">
        <v>46</v>
      </c>
      <c r="I14" s="10">
        <f t="shared" si="0"/>
        <v>3.19</v>
      </c>
      <c r="J14" s="7">
        <v>38</v>
      </c>
      <c r="K14" s="7" t="s">
        <v>75</v>
      </c>
      <c r="L14" s="7" t="s">
        <v>48</v>
      </c>
      <c r="M14" s="7" t="s">
        <v>1</v>
      </c>
      <c r="N14" s="15" t="s">
        <v>474</v>
      </c>
      <c r="O14" s="15"/>
      <c r="P14" s="15"/>
    </row>
    <row r="15" spans="1:16" ht="27.6" customHeight="1" x14ac:dyDescent="0.3">
      <c r="A15" s="7" t="s">
        <v>76</v>
      </c>
      <c r="B15" s="7" t="s">
        <v>1</v>
      </c>
      <c r="C15" s="8">
        <v>0.92</v>
      </c>
      <c r="D15" s="7">
        <v>0</v>
      </c>
      <c r="E15" s="9">
        <v>3.49</v>
      </c>
      <c r="F15" s="7">
        <v>1</v>
      </c>
      <c r="G15" s="7" t="s">
        <v>45</v>
      </c>
      <c r="H15" s="7" t="s">
        <v>56</v>
      </c>
      <c r="I15" s="10">
        <f t="shared" si="0"/>
        <v>3.49</v>
      </c>
      <c r="J15" s="7">
        <v>20</v>
      </c>
      <c r="K15" s="7" t="s">
        <v>77</v>
      </c>
      <c r="L15" s="7" t="s">
        <v>51</v>
      </c>
      <c r="M15" s="7" t="s">
        <v>78</v>
      </c>
      <c r="N15" s="15" t="s">
        <v>473</v>
      </c>
      <c r="O15" s="15"/>
      <c r="P15" s="15"/>
    </row>
    <row r="16" spans="1:16" ht="27.6" customHeight="1" x14ac:dyDescent="0.3">
      <c r="A16" s="7" t="s">
        <v>79</v>
      </c>
      <c r="B16" s="7" t="s">
        <v>1</v>
      </c>
      <c r="C16" s="8">
        <v>0.69</v>
      </c>
      <c r="D16" s="7">
        <v>600</v>
      </c>
      <c r="E16" s="9">
        <v>3.15</v>
      </c>
      <c r="F16" s="7">
        <v>1</v>
      </c>
      <c r="G16" s="7" t="s">
        <v>45</v>
      </c>
      <c r="H16" s="7" t="s">
        <v>46</v>
      </c>
      <c r="I16" s="10">
        <f t="shared" si="0"/>
        <v>3.15</v>
      </c>
      <c r="J16" s="7">
        <v>38</v>
      </c>
      <c r="K16" s="7" t="s">
        <v>75</v>
      </c>
      <c r="L16" s="7" t="s">
        <v>48</v>
      </c>
      <c r="M16" s="7" t="s">
        <v>1</v>
      </c>
      <c r="N16" s="15" t="s">
        <v>474</v>
      </c>
      <c r="O16" s="15"/>
      <c r="P16" s="15"/>
    </row>
    <row r="17" spans="1:16" ht="27.6" customHeight="1" x14ac:dyDescent="0.3">
      <c r="A17" s="7" t="s">
        <v>80</v>
      </c>
      <c r="B17" s="7" t="s">
        <v>1</v>
      </c>
      <c r="C17" s="8">
        <v>0.77</v>
      </c>
      <c r="D17" s="7">
        <v>450</v>
      </c>
      <c r="E17" s="9">
        <v>2.89</v>
      </c>
      <c r="F17" s="7">
        <v>1</v>
      </c>
      <c r="G17" s="7" t="s">
        <v>45</v>
      </c>
      <c r="H17" s="7" t="s">
        <v>46</v>
      </c>
      <c r="I17" s="10">
        <f t="shared" si="0"/>
        <v>2.89</v>
      </c>
      <c r="J17" s="7">
        <v>38</v>
      </c>
      <c r="K17" s="7" t="s">
        <v>75</v>
      </c>
      <c r="L17" s="7" t="s">
        <v>48</v>
      </c>
      <c r="M17" s="7" t="s">
        <v>1</v>
      </c>
      <c r="N17" s="15" t="s">
        <v>474</v>
      </c>
      <c r="O17" s="15"/>
      <c r="P17" s="15"/>
    </row>
    <row r="18" spans="1:16" ht="27.6" customHeight="1" x14ac:dyDescent="0.3">
      <c r="A18" s="7" t="s">
        <v>81</v>
      </c>
      <c r="B18" s="7" t="s">
        <v>1</v>
      </c>
      <c r="C18" s="8">
        <v>0.71</v>
      </c>
      <c r="D18" s="7">
        <v>15</v>
      </c>
      <c r="E18" s="9">
        <v>2.99</v>
      </c>
      <c r="F18" s="7">
        <v>1</v>
      </c>
      <c r="G18" s="7" t="s">
        <v>45</v>
      </c>
      <c r="H18" s="7" t="s">
        <v>46</v>
      </c>
      <c r="I18" s="10">
        <f t="shared" si="0"/>
        <v>2.99</v>
      </c>
      <c r="J18" s="7">
        <v>45</v>
      </c>
      <c r="K18" s="7" t="s">
        <v>47</v>
      </c>
      <c r="L18" s="7" t="s">
        <v>48</v>
      </c>
      <c r="M18" s="7" t="s">
        <v>1</v>
      </c>
      <c r="N18" s="15" t="s">
        <v>472</v>
      </c>
      <c r="O18" s="15"/>
      <c r="P18" s="15"/>
    </row>
    <row r="19" spans="1:16" ht="27.6" customHeight="1" x14ac:dyDescent="0.3">
      <c r="A19" s="7" t="s">
        <v>82</v>
      </c>
      <c r="B19" s="7" t="s">
        <v>1</v>
      </c>
      <c r="C19" s="8">
        <v>0.65</v>
      </c>
      <c r="D19" s="7">
        <v>170</v>
      </c>
      <c r="E19" s="9">
        <v>2.99</v>
      </c>
      <c r="F19" s="7">
        <v>1</v>
      </c>
      <c r="G19" s="7" t="s">
        <v>45</v>
      </c>
      <c r="H19" s="7" t="s">
        <v>46</v>
      </c>
      <c r="I19" s="10">
        <f t="shared" si="0"/>
        <v>2.99</v>
      </c>
      <c r="J19" s="7">
        <v>45</v>
      </c>
      <c r="K19" s="7" t="s">
        <v>47</v>
      </c>
      <c r="L19" s="7" t="s">
        <v>48</v>
      </c>
      <c r="M19" s="7" t="s">
        <v>1</v>
      </c>
      <c r="N19" s="15" t="s">
        <v>472</v>
      </c>
      <c r="O19" s="15"/>
      <c r="P19" s="15"/>
    </row>
    <row r="20" spans="1:16" ht="27.6" customHeight="1" x14ac:dyDescent="0.3">
      <c r="A20" s="7" t="s">
        <v>83</v>
      </c>
      <c r="B20" s="7" t="s">
        <v>1</v>
      </c>
      <c r="C20" s="8">
        <v>0.75</v>
      </c>
      <c r="D20" s="7">
        <v>0.8</v>
      </c>
      <c r="E20" s="9">
        <v>3.25</v>
      </c>
      <c r="F20" s="7">
        <v>1</v>
      </c>
      <c r="G20" s="7" t="s">
        <v>45</v>
      </c>
      <c r="H20" s="7" t="s">
        <v>46</v>
      </c>
      <c r="I20" s="10">
        <f t="shared" si="0"/>
        <v>3.25</v>
      </c>
      <c r="J20" s="7">
        <v>34</v>
      </c>
      <c r="K20" s="7" t="s">
        <v>84</v>
      </c>
      <c r="L20" s="7" t="s">
        <v>48</v>
      </c>
      <c r="M20" s="7" t="s">
        <v>1</v>
      </c>
      <c r="N20" s="15" t="s">
        <v>471</v>
      </c>
      <c r="O20" s="15"/>
      <c r="P20" s="15"/>
    </row>
    <row r="21" spans="1:16" ht="27.6" customHeight="1" x14ac:dyDescent="0.3">
      <c r="A21" s="7" t="s">
        <v>85</v>
      </c>
      <c r="B21" s="7" t="s">
        <v>1</v>
      </c>
      <c r="C21" s="8">
        <v>0.7</v>
      </c>
      <c r="D21" s="7">
        <v>2.5</v>
      </c>
      <c r="E21" s="9">
        <v>1.99</v>
      </c>
      <c r="F21" s="7">
        <v>1</v>
      </c>
      <c r="G21" s="7" t="s">
        <v>45</v>
      </c>
      <c r="H21" s="7" t="s">
        <v>46</v>
      </c>
      <c r="I21" s="10">
        <f t="shared" si="0"/>
        <v>1.99</v>
      </c>
      <c r="J21" s="7">
        <v>43</v>
      </c>
      <c r="K21" s="7" t="s">
        <v>86</v>
      </c>
      <c r="L21" s="7" t="s">
        <v>48</v>
      </c>
      <c r="M21" s="7" t="s">
        <v>87</v>
      </c>
      <c r="N21" s="15" t="s">
        <v>471</v>
      </c>
      <c r="O21" s="15"/>
      <c r="P21" s="15"/>
    </row>
    <row r="22" spans="1:16" ht="41.4" customHeight="1" x14ac:dyDescent="0.3">
      <c r="A22" s="7" t="s">
        <v>88</v>
      </c>
      <c r="B22" s="7" t="s">
        <v>1</v>
      </c>
      <c r="C22" s="8">
        <v>0.65</v>
      </c>
      <c r="D22" s="7">
        <v>1</v>
      </c>
      <c r="E22" s="9">
        <v>11</v>
      </c>
      <c r="F22" s="7">
        <v>5</v>
      </c>
      <c r="G22" s="7" t="s">
        <v>45</v>
      </c>
      <c r="H22" s="7" t="s">
        <v>56</v>
      </c>
      <c r="I22" s="10">
        <f t="shared" si="0"/>
        <v>2.2000000000000002</v>
      </c>
      <c r="J22" s="7">
        <v>1</v>
      </c>
      <c r="K22" s="7" t="s">
        <v>89</v>
      </c>
      <c r="L22" s="7" t="s">
        <v>48</v>
      </c>
      <c r="M22" s="7" t="s">
        <v>1</v>
      </c>
      <c r="N22" s="15" t="s">
        <v>471</v>
      </c>
      <c r="O22" s="15"/>
      <c r="P22" s="15"/>
    </row>
    <row r="23" spans="1:16" ht="27.6" customHeight="1" x14ac:dyDescent="0.3">
      <c r="A23" s="7" t="s">
        <v>90</v>
      </c>
      <c r="B23" s="7" t="s">
        <v>1</v>
      </c>
      <c r="C23" s="8">
        <v>0.7</v>
      </c>
      <c r="D23" s="7">
        <v>2</v>
      </c>
      <c r="E23" s="9">
        <v>1.99</v>
      </c>
      <c r="F23" s="7">
        <v>2</v>
      </c>
      <c r="G23" s="7" t="s">
        <v>45</v>
      </c>
      <c r="H23" s="7" t="s">
        <v>46</v>
      </c>
      <c r="I23" s="10">
        <f t="shared" si="0"/>
        <v>0.995</v>
      </c>
      <c r="J23" s="7">
        <v>43</v>
      </c>
      <c r="K23" s="7" t="s">
        <v>86</v>
      </c>
      <c r="L23" s="7" t="s">
        <v>51</v>
      </c>
      <c r="M23" s="7" t="s">
        <v>91</v>
      </c>
      <c r="N23" s="15" t="s">
        <v>471</v>
      </c>
      <c r="O23" s="15"/>
      <c r="P23" s="15"/>
    </row>
    <row r="24" spans="1:16" ht="41.4" customHeight="1" x14ac:dyDescent="0.3">
      <c r="A24" s="7" t="s">
        <v>92</v>
      </c>
      <c r="B24" s="7" t="s">
        <v>1</v>
      </c>
      <c r="C24" s="8">
        <v>0.81</v>
      </c>
      <c r="D24" s="7">
        <v>2.2000000000000002</v>
      </c>
      <c r="E24" s="9">
        <v>84.99</v>
      </c>
      <c r="F24" s="7">
        <v>55</v>
      </c>
      <c r="G24" s="7" t="s">
        <v>45</v>
      </c>
      <c r="H24" s="7" t="s">
        <v>46</v>
      </c>
      <c r="I24" s="10">
        <f t="shared" si="0"/>
        <v>1.5452727272727271</v>
      </c>
      <c r="J24" s="7">
        <v>45</v>
      </c>
      <c r="K24" s="7" t="s">
        <v>47</v>
      </c>
      <c r="L24" s="7" t="s">
        <v>51</v>
      </c>
      <c r="M24" s="7" t="s">
        <v>93</v>
      </c>
      <c r="N24" s="15" t="s">
        <v>471</v>
      </c>
      <c r="O24" s="15"/>
      <c r="P24" s="15"/>
    </row>
    <row r="25" spans="1:16" ht="27.6" customHeight="1" x14ac:dyDescent="0.3">
      <c r="A25" s="7" t="s">
        <v>94</v>
      </c>
      <c r="B25" s="7" t="s">
        <v>1</v>
      </c>
      <c r="C25" s="8">
        <v>0.8</v>
      </c>
      <c r="D25" s="7">
        <v>3.5</v>
      </c>
      <c r="E25" s="9">
        <v>1.99</v>
      </c>
      <c r="F25" s="7">
        <v>1</v>
      </c>
      <c r="G25" s="7" t="s">
        <v>45</v>
      </c>
      <c r="H25" s="7" t="s">
        <v>46</v>
      </c>
      <c r="I25" s="10">
        <f t="shared" si="0"/>
        <v>1.99</v>
      </c>
      <c r="J25" s="7">
        <v>45</v>
      </c>
      <c r="K25" s="7" t="s">
        <v>47</v>
      </c>
      <c r="L25" s="7" t="s">
        <v>48</v>
      </c>
      <c r="M25" s="7" t="s">
        <v>1</v>
      </c>
      <c r="N25" s="15" t="s">
        <v>471</v>
      </c>
      <c r="O25" s="15"/>
      <c r="P25" s="15"/>
    </row>
    <row r="26" spans="1:16" ht="27.6" customHeight="1" x14ac:dyDescent="0.3">
      <c r="A26" s="7" t="s">
        <v>95</v>
      </c>
      <c r="B26" s="7" t="s">
        <v>1</v>
      </c>
      <c r="C26" s="8">
        <v>0.82</v>
      </c>
      <c r="D26" s="7">
        <v>25</v>
      </c>
      <c r="E26" s="9">
        <v>2.4900000000000002</v>
      </c>
      <c r="F26" s="7">
        <v>1</v>
      </c>
      <c r="G26" s="7" t="s">
        <v>45</v>
      </c>
      <c r="H26" s="7" t="s">
        <v>46</v>
      </c>
      <c r="I26" s="10">
        <f t="shared" si="0"/>
        <v>2.4900000000000002</v>
      </c>
      <c r="J26" s="7">
        <v>1</v>
      </c>
      <c r="K26" s="7" t="s">
        <v>96</v>
      </c>
      <c r="L26" s="7" t="s">
        <v>48</v>
      </c>
      <c r="M26" s="7" t="s">
        <v>1</v>
      </c>
      <c r="N26" s="15" t="s">
        <v>472</v>
      </c>
      <c r="O26" s="15"/>
      <c r="P26" s="15"/>
    </row>
    <row r="27" spans="1:16" ht="27.6" customHeight="1" x14ac:dyDescent="0.3">
      <c r="A27" s="7" t="s">
        <v>97</v>
      </c>
      <c r="B27" s="7" t="s">
        <v>1</v>
      </c>
      <c r="C27" s="8">
        <v>1</v>
      </c>
      <c r="D27" s="7">
        <v>0</v>
      </c>
      <c r="E27" s="9">
        <v>5.49</v>
      </c>
      <c r="F27" s="7">
        <v>1</v>
      </c>
      <c r="G27" s="7" t="s">
        <v>45</v>
      </c>
      <c r="H27" s="7" t="s">
        <v>46</v>
      </c>
      <c r="I27" s="10">
        <f t="shared" si="0"/>
        <v>5.49</v>
      </c>
      <c r="J27" s="7">
        <v>1</v>
      </c>
      <c r="K27" s="7" t="s">
        <v>96</v>
      </c>
      <c r="L27" s="7" t="s">
        <v>51</v>
      </c>
      <c r="M27" s="7" t="s">
        <v>98</v>
      </c>
      <c r="N27" s="15" t="s">
        <v>473</v>
      </c>
      <c r="O27" s="15"/>
      <c r="P27" s="15"/>
    </row>
    <row r="28" spans="1:16" ht="55.2" customHeight="1" x14ac:dyDescent="0.3">
      <c r="A28" s="7" t="s">
        <v>99</v>
      </c>
      <c r="B28" s="7" t="s">
        <v>1</v>
      </c>
      <c r="C28" s="8">
        <v>0.75</v>
      </c>
      <c r="D28" s="7">
        <v>550</v>
      </c>
      <c r="E28" s="9">
        <v>2.79</v>
      </c>
      <c r="F28" s="7">
        <v>1</v>
      </c>
      <c r="G28" s="7" t="s">
        <v>45</v>
      </c>
      <c r="H28" s="7" t="s">
        <v>46</v>
      </c>
      <c r="I28" s="10">
        <f t="shared" si="0"/>
        <v>2.79</v>
      </c>
      <c r="J28" s="7">
        <v>45</v>
      </c>
      <c r="K28" s="7" t="s">
        <v>100</v>
      </c>
      <c r="L28" s="7" t="s">
        <v>51</v>
      </c>
      <c r="M28" s="7" t="s">
        <v>101</v>
      </c>
      <c r="N28" s="15" t="s">
        <v>474</v>
      </c>
      <c r="O28" s="15"/>
      <c r="P28" s="15"/>
    </row>
    <row r="29" spans="1:16" ht="27.6" customHeight="1" x14ac:dyDescent="0.3">
      <c r="A29" s="7" t="s">
        <v>102</v>
      </c>
      <c r="B29" s="7" t="s">
        <v>1</v>
      </c>
      <c r="C29" s="8">
        <v>0.82</v>
      </c>
      <c r="D29" s="7">
        <v>6.9</v>
      </c>
      <c r="E29" s="9">
        <v>89.99</v>
      </c>
      <c r="F29" s="7">
        <v>55</v>
      </c>
      <c r="G29" s="7" t="s">
        <v>45</v>
      </c>
      <c r="H29" s="7" t="s">
        <v>46</v>
      </c>
      <c r="I29" s="10">
        <f t="shared" si="0"/>
        <v>1.6361818181818182</v>
      </c>
      <c r="J29" s="7">
        <v>45</v>
      </c>
      <c r="K29" s="7" t="s">
        <v>47</v>
      </c>
      <c r="L29" s="7" t="s">
        <v>48</v>
      </c>
      <c r="M29" s="7" t="s">
        <v>1</v>
      </c>
      <c r="N29" s="15" t="s">
        <v>471</v>
      </c>
      <c r="O29" s="15"/>
      <c r="P29" s="15"/>
    </row>
    <row r="30" spans="1:16" ht="27.6" customHeight="1" x14ac:dyDescent="0.3">
      <c r="A30" s="7" t="s">
        <v>103</v>
      </c>
      <c r="B30" s="7" t="s">
        <v>1</v>
      </c>
      <c r="C30" s="8">
        <v>0.81</v>
      </c>
      <c r="D30" s="7">
        <v>9</v>
      </c>
      <c r="E30" s="9">
        <v>2.69</v>
      </c>
      <c r="F30" s="7">
        <v>1</v>
      </c>
      <c r="G30" s="7" t="s">
        <v>45</v>
      </c>
      <c r="H30" s="7" t="s">
        <v>46</v>
      </c>
      <c r="I30" s="10">
        <f t="shared" si="0"/>
        <v>2.69</v>
      </c>
      <c r="J30" s="7">
        <v>45</v>
      </c>
      <c r="K30" s="7" t="s">
        <v>47</v>
      </c>
      <c r="L30" s="7" t="s">
        <v>48</v>
      </c>
      <c r="M30" s="7" t="s">
        <v>1</v>
      </c>
      <c r="N30" s="15" t="s">
        <v>471</v>
      </c>
      <c r="O30" s="15"/>
      <c r="P30" s="15"/>
    </row>
    <row r="31" spans="1:16" ht="27.6" customHeight="1" x14ac:dyDescent="0.3">
      <c r="A31" s="7" t="s">
        <v>104</v>
      </c>
      <c r="B31" s="7" t="s">
        <v>1</v>
      </c>
      <c r="C31" s="8">
        <v>0.71</v>
      </c>
      <c r="D31" s="7">
        <v>225</v>
      </c>
      <c r="E31" s="9">
        <v>2.99</v>
      </c>
      <c r="F31" s="7">
        <v>1</v>
      </c>
      <c r="G31" s="7" t="s">
        <v>45</v>
      </c>
      <c r="H31" s="7" t="s">
        <v>46</v>
      </c>
      <c r="I31" s="10">
        <f t="shared" si="0"/>
        <v>2.99</v>
      </c>
      <c r="J31" s="7">
        <v>32</v>
      </c>
      <c r="K31" s="7" t="s">
        <v>68</v>
      </c>
      <c r="L31" s="7" t="s">
        <v>48</v>
      </c>
      <c r="M31" s="7" t="s">
        <v>1</v>
      </c>
      <c r="N31" s="15" t="s">
        <v>474</v>
      </c>
      <c r="O31" s="15"/>
      <c r="P31" s="15"/>
    </row>
    <row r="32" spans="1:16" ht="27.6" customHeight="1" x14ac:dyDescent="0.3">
      <c r="A32" s="7" t="s">
        <v>105</v>
      </c>
      <c r="B32" s="7" t="s">
        <v>1</v>
      </c>
      <c r="C32" s="8">
        <v>0.8</v>
      </c>
      <c r="D32" s="7">
        <v>2.5</v>
      </c>
      <c r="E32" s="9">
        <v>27.39</v>
      </c>
      <c r="F32" s="7">
        <v>10</v>
      </c>
      <c r="G32" s="7" t="s">
        <v>45</v>
      </c>
      <c r="H32" s="7" t="s">
        <v>56</v>
      </c>
      <c r="I32" s="10">
        <f t="shared" si="0"/>
        <v>2.7389999999999999</v>
      </c>
      <c r="J32" s="7">
        <v>1</v>
      </c>
      <c r="K32" s="7" t="s">
        <v>66</v>
      </c>
      <c r="L32" s="7" t="s">
        <v>48</v>
      </c>
      <c r="M32" s="7" t="s">
        <v>1</v>
      </c>
      <c r="N32" s="15" t="s">
        <v>471</v>
      </c>
      <c r="O32" s="15"/>
      <c r="P32" s="15"/>
    </row>
    <row r="33" spans="1:16" ht="27.6" customHeight="1" x14ac:dyDescent="0.3">
      <c r="A33" s="7" t="s">
        <v>106</v>
      </c>
      <c r="B33" s="7" t="s">
        <v>1</v>
      </c>
      <c r="C33" s="8">
        <v>0.81</v>
      </c>
      <c r="D33" s="7">
        <v>2</v>
      </c>
      <c r="E33" s="9">
        <v>79.989999999999995</v>
      </c>
      <c r="F33" s="7">
        <v>55</v>
      </c>
      <c r="G33" s="7" t="s">
        <v>45</v>
      </c>
      <c r="H33" s="7" t="s">
        <v>46</v>
      </c>
      <c r="I33" s="10">
        <f t="shared" si="0"/>
        <v>1.4543636363636363</v>
      </c>
      <c r="J33" s="7">
        <v>45</v>
      </c>
      <c r="K33" s="7" t="s">
        <v>47</v>
      </c>
      <c r="L33" s="7" t="s">
        <v>51</v>
      </c>
      <c r="M33" s="7" t="s">
        <v>107</v>
      </c>
      <c r="N33" s="15" t="s">
        <v>471</v>
      </c>
      <c r="O33" s="15"/>
      <c r="P33" s="15"/>
    </row>
    <row r="34" spans="1:16" ht="27.6" customHeight="1" x14ac:dyDescent="0.3">
      <c r="A34" s="7" t="s">
        <v>108</v>
      </c>
      <c r="B34" s="7" t="s">
        <v>1</v>
      </c>
      <c r="C34" s="8">
        <v>0.81</v>
      </c>
      <c r="D34" s="7">
        <v>1.8</v>
      </c>
      <c r="E34" s="9">
        <v>87.99</v>
      </c>
      <c r="F34" s="7">
        <v>55</v>
      </c>
      <c r="G34" s="7" t="s">
        <v>45</v>
      </c>
      <c r="H34" s="7" t="s">
        <v>46</v>
      </c>
      <c r="I34" s="10">
        <f t="shared" si="0"/>
        <v>1.5998181818181818</v>
      </c>
      <c r="J34" s="7">
        <v>16</v>
      </c>
      <c r="K34" s="7" t="s">
        <v>109</v>
      </c>
      <c r="L34" s="7" t="s">
        <v>48</v>
      </c>
      <c r="M34" s="7" t="s">
        <v>1</v>
      </c>
      <c r="N34" s="15" t="s">
        <v>471</v>
      </c>
      <c r="O34" s="15"/>
      <c r="P34" s="15"/>
    </row>
    <row r="35" spans="1:16" ht="41.4" customHeight="1" x14ac:dyDescent="0.3">
      <c r="A35" s="7" t="s">
        <v>110</v>
      </c>
      <c r="B35" s="7" t="s">
        <v>1</v>
      </c>
      <c r="C35" s="8">
        <v>0.13500000000000001</v>
      </c>
      <c r="D35" s="7">
        <v>0</v>
      </c>
      <c r="E35" s="9">
        <v>15</v>
      </c>
      <c r="F35" s="7">
        <v>3</v>
      </c>
      <c r="G35" s="7" t="s">
        <v>45</v>
      </c>
      <c r="H35" s="7" t="s">
        <v>1</v>
      </c>
      <c r="I35" s="10">
        <f t="shared" si="0"/>
        <v>5</v>
      </c>
      <c r="J35" s="7">
        <v>1</v>
      </c>
      <c r="K35" s="7" t="s">
        <v>111</v>
      </c>
      <c r="L35" s="7" t="s">
        <v>48</v>
      </c>
      <c r="M35" s="7" t="s">
        <v>1</v>
      </c>
      <c r="N35" s="15" t="s">
        <v>473</v>
      </c>
      <c r="O35" s="15"/>
      <c r="P35" s="15"/>
    </row>
    <row r="36" spans="1:16" ht="27.6" customHeight="1" x14ac:dyDescent="0.3">
      <c r="A36" s="7" t="s">
        <v>112</v>
      </c>
      <c r="B36" s="7" t="s">
        <v>1</v>
      </c>
      <c r="C36" s="8">
        <v>0.76</v>
      </c>
      <c r="D36" s="7">
        <v>2</v>
      </c>
      <c r="E36" s="9">
        <v>1.79</v>
      </c>
      <c r="F36" s="7">
        <v>1</v>
      </c>
      <c r="G36" s="7" t="s">
        <v>45</v>
      </c>
      <c r="H36" s="7" t="s">
        <v>46</v>
      </c>
      <c r="I36" s="10">
        <f t="shared" si="0"/>
        <v>1.79</v>
      </c>
      <c r="J36" s="7">
        <v>42</v>
      </c>
      <c r="K36" s="7" t="s">
        <v>113</v>
      </c>
      <c r="L36" s="7" t="s">
        <v>51</v>
      </c>
      <c r="M36" s="7" t="s">
        <v>114</v>
      </c>
      <c r="N36" s="15" t="s">
        <v>471</v>
      </c>
      <c r="O36" s="15"/>
      <c r="P36" s="15"/>
    </row>
    <row r="37" spans="1:16" ht="27.6" customHeight="1" x14ac:dyDescent="0.3">
      <c r="A37" s="7" t="s">
        <v>115</v>
      </c>
      <c r="B37" s="7" t="s">
        <v>1</v>
      </c>
      <c r="C37" s="8">
        <v>0</v>
      </c>
      <c r="D37" s="7">
        <v>0</v>
      </c>
      <c r="E37" s="9">
        <v>1.99</v>
      </c>
      <c r="F37" s="7">
        <v>1</v>
      </c>
      <c r="G37" s="7" t="s">
        <v>45</v>
      </c>
      <c r="H37" s="7" t="s">
        <v>46</v>
      </c>
      <c r="I37" s="10">
        <f t="shared" si="0"/>
        <v>1.99</v>
      </c>
      <c r="J37" s="7">
        <v>41</v>
      </c>
      <c r="K37" s="7" t="s">
        <v>116</v>
      </c>
      <c r="L37" s="7" t="s">
        <v>48</v>
      </c>
      <c r="M37" s="7" t="s">
        <v>1</v>
      </c>
      <c r="N37" s="15" t="s">
        <v>473</v>
      </c>
      <c r="O37" s="15"/>
      <c r="P37" s="15"/>
    </row>
    <row r="38" spans="1:16" ht="27.6" customHeight="1" x14ac:dyDescent="0.3">
      <c r="A38" s="7" t="s">
        <v>117</v>
      </c>
      <c r="B38" s="7" t="s">
        <v>1</v>
      </c>
      <c r="C38" s="8">
        <v>0.9</v>
      </c>
      <c r="D38" s="7">
        <v>0</v>
      </c>
      <c r="E38" s="9">
        <v>11</v>
      </c>
      <c r="F38" s="7" t="s">
        <v>1</v>
      </c>
      <c r="G38" s="7" t="s">
        <v>1</v>
      </c>
      <c r="H38" s="7" t="s">
        <v>118</v>
      </c>
      <c r="I38" s="10" t="str">
        <f t="shared" si="0"/>
        <v/>
      </c>
      <c r="J38" s="7">
        <v>1</v>
      </c>
      <c r="K38" s="7" t="s">
        <v>119</v>
      </c>
      <c r="L38" s="7" t="s">
        <v>48</v>
      </c>
      <c r="M38" s="7" t="s">
        <v>1</v>
      </c>
      <c r="N38" s="15" t="s">
        <v>471</v>
      </c>
      <c r="O38" s="15"/>
      <c r="P38" s="15"/>
    </row>
    <row r="39" spans="1:16" ht="27.6" customHeight="1" x14ac:dyDescent="0.3">
      <c r="A39" s="7" t="s">
        <v>120</v>
      </c>
      <c r="B39" s="7" t="s">
        <v>1</v>
      </c>
      <c r="C39" s="8">
        <v>0.77</v>
      </c>
      <c r="D39" s="7">
        <v>110</v>
      </c>
      <c r="E39" s="9">
        <v>2.99</v>
      </c>
      <c r="F39" s="7">
        <v>1</v>
      </c>
      <c r="G39" s="7" t="s">
        <v>45</v>
      </c>
      <c r="H39" s="7" t="s">
        <v>46</v>
      </c>
      <c r="I39" s="10">
        <f t="shared" si="0"/>
        <v>2.99</v>
      </c>
      <c r="J39" s="7">
        <v>32</v>
      </c>
      <c r="K39" s="7" t="s">
        <v>68</v>
      </c>
      <c r="L39" s="7" t="s">
        <v>48</v>
      </c>
      <c r="M39" s="7" t="s">
        <v>1</v>
      </c>
      <c r="N39" s="15" t="s">
        <v>472</v>
      </c>
      <c r="O39" s="15"/>
      <c r="P39" s="15"/>
    </row>
    <row r="40" spans="1:16" ht="27.6" customHeight="1" x14ac:dyDescent="0.3">
      <c r="A40" s="7" t="s">
        <v>121</v>
      </c>
      <c r="B40" s="7" t="s">
        <v>1</v>
      </c>
      <c r="C40" s="8">
        <v>0.72</v>
      </c>
      <c r="D40" s="7">
        <v>40</v>
      </c>
      <c r="E40" s="9">
        <v>1.99</v>
      </c>
      <c r="F40" s="7">
        <v>1</v>
      </c>
      <c r="G40" s="7" t="s">
        <v>45</v>
      </c>
      <c r="H40" s="7" t="s">
        <v>46</v>
      </c>
      <c r="I40" s="10">
        <f t="shared" si="0"/>
        <v>1.99</v>
      </c>
      <c r="J40" s="7">
        <v>30</v>
      </c>
      <c r="K40" s="7" t="s">
        <v>122</v>
      </c>
      <c r="L40" s="7" t="s">
        <v>48</v>
      </c>
      <c r="M40" s="7" t="s">
        <v>1</v>
      </c>
      <c r="N40" s="15" t="s">
        <v>472</v>
      </c>
      <c r="O40" s="15"/>
      <c r="P40" s="15">
        <v>25.6</v>
      </c>
    </row>
    <row r="41" spans="1:16" ht="27.6" customHeight="1" x14ac:dyDescent="0.3">
      <c r="A41" s="7" t="s">
        <v>123</v>
      </c>
      <c r="B41" s="7" t="s">
        <v>1</v>
      </c>
      <c r="C41" s="8">
        <v>0.75</v>
      </c>
      <c r="D41" s="7">
        <v>28</v>
      </c>
      <c r="E41" s="9">
        <v>2.79</v>
      </c>
      <c r="F41" s="7">
        <v>1</v>
      </c>
      <c r="G41" s="7" t="s">
        <v>45</v>
      </c>
      <c r="H41" s="7" t="s">
        <v>56</v>
      </c>
      <c r="I41" s="10">
        <f t="shared" si="0"/>
        <v>2.79</v>
      </c>
      <c r="J41" s="7">
        <v>24</v>
      </c>
      <c r="K41" s="7" t="s">
        <v>124</v>
      </c>
      <c r="L41" s="7" t="s">
        <v>48</v>
      </c>
      <c r="M41" s="7" t="s">
        <v>1</v>
      </c>
      <c r="N41" s="15" t="s">
        <v>472</v>
      </c>
      <c r="O41" s="15"/>
      <c r="P41" s="15">
        <v>20.2</v>
      </c>
    </row>
    <row r="42" spans="1:16" ht="27.6" customHeight="1" x14ac:dyDescent="0.3">
      <c r="A42" s="7" t="s">
        <v>125</v>
      </c>
      <c r="B42" s="7" t="s">
        <v>1</v>
      </c>
      <c r="C42" s="8">
        <v>0.8</v>
      </c>
      <c r="D42" s="7">
        <v>3.2</v>
      </c>
      <c r="E42" s="9">
        <v>2.79</v>
      </c>
      <c r="F42" s="7">
        <v>1</v>
      </c>
      <c r="G42" s="7" t="s">
        <v>45</v>
      </c>
      <c r="H42" s="7" t="s">
        <v>46</v>
      </c>
      <c r="I42" s="10">
        <f t="shared" si="0"/>
        <v>2.79</v>
      </c>
      <c r="J42" s="7">
        <v>37</v>
      </c>
      <c r="K42" s="7" t="s">
        <v>126</v>
      </c>
      <c r="L42" s="7" t="s">
        <v>48</v>
      </c>
      <c r="M42" s="7" t="s">
        <v>1</v>
      </c>
      <c r="N42" s="15" t="s">
        <v>471</v>
      </c>
      <c r="O42" s="15"/>
      <c r="P42" s="15"/>
    </row>
    <row r="43" spans="1:16" ht="27.6" customHeight="1" x14ac:dyDescent="0.3">
      <c r="A43" s="7" t="s">
        <v>127</v>
      </c>
      <c r="B43" s="7" t="s">
        <v>1</v>
      </c>
      <c r="C43" s="8">
        <v>0.86</v>
      </c>
      <c r="D43" s="7">
        <v>3</v>
      </c>
      <c r="E43" s="9">
        <v>46.5</v>
      </c>
      <c r="F43" s="7">
        <v>55</v>
      </c>
      <c r="G43" s="7" t="s">
        <v>45</v>
      </c>
      <c r="H43" s="7" t="s">
        <v>46</v>
      </c>
      <c r="I43" s="10">
        <f t="shared" si="0"/>
        <v>0.84545454545454546</v>
      </c>
      <c r="J43" s="7">
        <v>45</v>
      </c>
      <c r="K43" s="7" t="s">
        <v>47</v>
      </c>
      <c r="L43" s="7" t="s">
        <v>51</v>
      </c>
      <c r="M43" s="7" t="s">
        <v>128</v>
      </c>
      <c r="N43" s="15" t="s">
        <v>471</v>
      </c>
      <c r="O43" s="15"/>
      <c r="P43" s="15"/>
    </row>
  </sheetData>
  <autoFilter ref="A1:M1" xr:uid="{00000000-0009-0000-0000-000001000000}"/>
  <dataValidations count="1">
    <dataValidation type="list" allowBlank="1" sqref="L2:L44" xr:uid="{00000000-0002-0000-0100-000000000000}">
      <formula1>"Check,OK,Confirmed"</formula1>
    </dataValidation>
  </dataValidations>
  <pageMargins left="0.7" right="0.7" top="0.75" bottom="0.75" header="0.3" footer="0.3"/>
  <pageSetup orientation="portrait" useFirstPageNumber="1" horizontalDpi="4294967295" verticalDpi="4294967295"/>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L44"/>
  <sheetViews>
    <sheetView zoomScaleNormal="100" workbookViewId="0">
      <pane ySplit="1" topLeftCell="A2" activePane="bottomLeft" state="frozen"/>
      <selection pane="bottomLeft"/>
    </sheetView>
  </sheetViews>
  <sheetFormatPr defaultRowHeight="14.4" customHeight="1" x14ac:dyDescent="0.3"/>
  <cols>
    <col min="1" max="1" width="24" customWidth="1"/>
    <col min="2" max="2" width="12" customWidth="1"/>
    <col min="3" max="3" width="11" customWidth="1"/>
    <col min="4" max="4" width="10" customWidth="1"/>
    <col min="7" max="7" width="14" customWidth="1"/>
    <col min="8" max="8" width="11" customWidth="1"/>
    <col min="9" max="9" width="10" customWidth="1"/>
    <col min="10" max="10" width="38" customWidth="1"/>
    <col min="11" max="11" width="11" customWidth="1"/>
    <col min="12" max="12" width="60" customWidth="1"/>
  </cols>
  <sheetData>
    <row r="1" spans="1:12" s="6" customFormat="1" ht="31.95" customHeight="1" x14ac:dyDescent="0.3">
      <c r="A1" s="6" t="s">
        <v>31</v>
      </c>
      <c r="B1" s="6" t="s">
        <v>129</v>
      </c>
      <c r="C1" s="6" t="s">
        <v>130</v>
      </c>
      <c r="D1" s="6" t="s">
        <v>35</v>
      </c>
      <c r="E1" s="6" t="s">
        <v>36</v>
      </c>
      <c r="F1" s="6" t="s">
        <v>37</v>
      </c>
      <c r="G1" s="6" t="s">
        <v>38</v>
      </c>
      <c r="H1" s="6" t="s">
        <v>131</v>
      </c>
      <c r="I1" s="6" t="s">
        <v>40</v>
      </c>
      <c r="J1" s="6" t="s">
        <v>41</v>
      </c>
      <c r="K1" s="6" t="s">
        <v>42</v>
      </c>
      <c r="L1" s="6" t="s">
        <v>43</v>
      </c>
    </row>
    <row r="2" spans="1:12" ht="41.4" customHeight="1" x14ac:dyDescent="0.3">
      <c r="A2" s="7" t="s">
        <v>132</v>
      </c>
      <c r="B2" s="7" t="s">
        <v>1</v>
      </c>
      <c r="C2" s="8">
        <v>0.14299999999999999</v>
      </c>
      <c r="D2" s="9">
        <v>0</v>
      </c>
      <c r="E2" s="7" t="s">
        <v>1</v>
      </c>
      <c r="F2" s="7" t="s">
        <v>1</v>
      </c>
      <c r="G2" s="7" t="s">
        <v>133</v>
      </c>
      <c r="H2" s="10" t="str">
        <f t="shared" ref="H2:H44" si="0">IF(OR(D2="",E2=""),"",D2/(E2*IF(F2="lb",16,1)))</f>
        <v/>
      </c>
      <c r="I2" s="7">
        <v>2</v>
      </c>
      <c r="J2" s="7" t="s">
        <v>134</v>
      </c>
      <c r="K2" s="7" t="s">
        <v>48</v>
      </c>
      <c r="L2" s="7" t="s">
        <v>1</v>
      </c>
    </row>
    <row r="3" spans="1:12" ht="27.6" customHeight="1" x14ac:dyDescent="0.3">
      <c r="A3" s="7" t="s">
        <v>135</v>
      </c>
      <c r="B3" s="7" t="s">
        <v>1</v>
      </c>
      <c r="C3" s="8">
        <v>0.1</v>
      </c>
      <c r="D3" s="9">
        <v>18.989999999999998</v>
      </c>
      <c r="E3" s="7">
        <v>1</v>
      </c>
      <c r="F3" s="7" t="s">
        <v>45</v>
      </c>
      <c r="G3" s="7" t="s">
        <v>136</v>
      </c>
      <c r="H3" s="10">
        <f t="shared" si="0"/>
        <v>1.1868749999999999</v>
      </c>
      <c r="I3" s="7">
        <v>45</v>
      </c>
      <c r="J3" s="7" t="s">
        <v>47</v>
      </c>
      <c r="K3" s="7" t="s">
        <v>48</v>
      </c>
      <c r="L3" s="7" t="s">
        <v>1</v>
      </c>
    </row>
    <row r="4" spans="1:12" ht="27.6" customHeight="1" x14ac:dyDescent="0.3">
      <c r="A4" s="7" t="s">
        <v>137</v>
      </c>
      <c r="B4" s="7" t="s">
        <v>1</v>
      </c>
      <c r="C4" s="8">
        <v>0.15</v>
      </c>
      <c r="D4" s="9">
        <v>2.5</v>
      </c>
      <c r="E4" s="7">
        <v>2</v>
      </c>
      <c r="F4" s="7" t="s">
        <v>138</v>
      </c>
      <c r="G4" s="7" t="s">
        <v>136</v>
      </c>
      <c r="H4" s="10">
        <f t="shared" si="0"/>
        <v>1.25</v>
      </c>
      <c r="I4" s="7">
        <v>1</v>
      </c>
      <c r="J4" s="7" t="s">
        <v>139</v>
      </c>
      <c r="K4" s="7" t="s">
        <v>48</v>
      </c>
      <c r="L4" s="7" t="s">
        <v>1</v>
      </c>
    </row>
    <row r="5" spans="1:12" ht="27.6" customHeight="1" x14ac:dyDescent="0.3">
      <c r="A5" s="7" t="s">
        <v>140</v>
      </c>
      <c r="B5" s="7" t="s">
        <v>1</v>
      </c>
      <c r="C5" s="8">
        <v>0.14399999999999999</v>
      </c>
      <c r="D5" s="9">
        <v>9.9</v>
      </c>
      <c r="E5" s="7">
        <v>1</v>
      </c>
      <c r="F5" s="7" t="s">
        <v>45</v>
      </c>
      <c r="G5" s="7" t="s">
        <v>136</v>
      </c>
      <c r="H5" s="10">
        <f t="shared" si="0"/>
        <v>0.61875000000000002</v>
      </c>
      <c r="I5" s="7">
        <v>45</v>
      </c>
      <c r="J5" s="7" t="s">
        <v>47</v>
      </c>
      <c r="K5" s="7" t="s">
        <v>51</v>
      </c>
      <c r="L5" s="7" t="s">
        <v>141</v>
      </c>
    </row>
    <row r="6" spans="1:12" ht="27.6" customHeight="1" x14ac:dyDescent="0.3">
      <c r="A6" s="7" t="s">
        <v>142</v>
      </c>
      <c r="B6" s="7" t="s">
        <v>1</v>
      </c>
      <c r="C6" s="8">
        <v>0.14000000000000001</v>
      </c>
      <c r="D6" s="9">
        <v>9.75</v>
      </c>
      <c r="E6" s="7">
        <v>0.5</v>
      </c>
      <c r="F6" s="7" t="s">
        <v>45</v>
      </c>
      <c r="G6" s="7" t="s">
        <v>136</v>
      </c>
      <c r="H6" s="10">
        <f t="shared" si="0"/>
        <v>1.21875</v>
      </c>
      <c r="I6" s="7">
        <v>21</v>
      </c>
      <c r="J6" s="7" t="s">
        <v>143</v>
      </c>
      <c r="K6" s="7" t="s">
        <v>48</v>
      </c>
      <c r="L6" s="7" t="s">
        <v>1</v>
      </c>
    </row>
    <row r="7" spans="1:12" ht="27.6" customHeight="1" x14ac:dyDescent="0.3">
      <c r="A7" s="7" t="s">
        <v>144</v>
      </c>
      <c r="B7" s="7" t="s">
        <v>1</v>
      </c>
      <c r="C7" s="8">
        <v>6.2E-2</v>
      </c>
      <c r="D7" s="9">
        <v>10</v>
      </c>
      <c r="E7" s="7">
        <v>1</v>
      </c>
      <c r="F7" s="7" t="s">
        <v>45</v>
      </c>
      <c r="G7" s="7" t="s">
        <v>136</v>
      </c>
      <c r="H7" s="10">
        <f t="shared" si="0"/>
        <v>0.625</v>
      </c>
      <c r="I7" s="7">
        <v>4</v>
      </c>
      <c r="J7" s="7" t="s">
        <v>145</v>
      </c>
      <c r="K7" s="7" t="s">
        <v>51</v>
      </c>
      <c r="L7" s="7" t="s">
        <v>146</v>
      </c>
    </row>
    <row r="8" spans="1:12" ht="27.6" customHeight="1" x14ac:dyDescent="0.3">
      <c r="A8" s="7" t="s">
        <v>147</v>
      </c>
      <c r="B8" s="7" t="s">
        <v>1</v>
      </c>
      <c r="C8" s="8">
        <v>5.5E-2</v>
      </c>
      <c r="D8" s="9">
        <v>34</v>
      </c>
      <c r="E8" s="7">
        <v>1</v>
      </c>
      <c r="F8" s="7" t="s">
        <v>45</v>
      </c>
      <c r="G8" s="7" t="s">
        <v>148</v>
      </c>
      <c r="H8" s="10">
        <f t="shared" si="0"/>
        <v>2.125</v>
      </c>
      <c r="I8" s="7">
        <v>45</v>
      </c>
      <c r="J8" s="7" t="s">
        <v>47</v>
      </c>
      <c r="K8" s="7" t="s">
        <v>48</v>
      </c>
      <c r="L8" s="7" t="s">
        <v>1</v>
      </c>
    </row>
    <row r="9" spans="1:12" ht="27.6" customHeight="1" x14ac:dyDescent="0.3">
      <c r="A9" s="7" t="s">
        <v>149</v>
      </c>
      <c r="B9" s="7" t="s">
        <v>1</v>
      </c>
      <c r="C9" s="8">
        <v>0.1</v>
      </c>
      <c r="D9" s="9">
        <v>2.5</v>
      </c>
      <c r="E9" s="7">
        <v>2</v>
      </c>
      <c r="F9" s="7" t="s">
        <v>138</v>
      </c>
      <c r="G9" s="7" t="s">
        <v>136</v>
      </c>
      <c r="H9" s="10">
        <f t="shared" si="0"/>
        <v>1.25</v>
      </c>
      <c r="I9" s="7">
        <v>38</v>
      </c>
      <c r="J9" s="7" t="s">
        <v>75</v>
      </c>
      <c r="K9" s="7" t="s">
        <v>48</v>
      </c>
      <c r="L9" s="7" t="s">
        <v>1</v>
      </c>
    </row>
    <row r="10" spans="1:12" ht="27.6" customHeight="1" x14ac:dyDescent="0.3">
      <c r="A10" s="7" t="s">
        <v>150</v>
      </c>
      <c r="B10" s="7" t="s">
        <v>1</v>
      </c>
      <c r="C10" s="8">
        <v>9.8000000000000004E-2</v>
      </c>
      <c r="D10" s="9">
        <v>12.79</v>
      </c>
      <c r="E10" s="7">
        <v>1</v>
      </c>
      <c r="F10" s="7" t="s">
        <v>45</v>
      </c>
      <c r="G10" s="7" t="s">
        <v>56</v>
      </c>
      <c r="H10" s="10">
        <f t="shared" si="0"/>
        <v>0.79937499999999995</v>
      </c>
      <c r="I10" s="7">
        <v>45</v>
      </c>
      <c r="J10" s="7" t="s">
        <v>47</v>
      </c>
      <c r="K10" s="7" t="s">
        <v>48</v>
      </c>
      <c r="L10" s="7" t="s">
        <v>1</v>
      </c>
    </row>
    <row r="11" spans="1:12" ht="27.6" customHeight="1" x14ac:dyDescent="0.3">
      <c r="A11" s="7" t="s">
        <v>151</v>
      </c>
      <c r="B11" s="7" t="s">
        <v>1</v>
      </c>
      <c r="C11" s="8">
        <v>0.125</v>
      </c>
      <c r="D11" s="9">
        <v>16</v>
      </c>
      <c r="E11" s="7">
        <v>1</v>
      </c>
      <c r="F11" s="7" t="s">
        <v>45</v>
      </c>
      <c r="G11" s="7" t="s">
        <v>56</v>
      </c>
      <c r="H11" s="10">
        <f t="shared" si="0"/>
        <v>1</v>
      </c>
      <c r="I11" s="7">
        <v>45</v>
      </c>
      <c r="J11" s="7" t="s">
        <v>47</v>
      </c>
      <c r="K11" s="7" t="s">
        <v>48</v>
      </c>
      <c r="L11" s="7" t="s">
        <v>1</v>
      </c>
    </row>
    <row r="12" spans="1:12" ht="27.6" customHeight="1" x14ac:dyDescent="0.3">
      <c r="A12" s="7" t="s">
        <v>152</v>
      </c>
      <c r="B12" s="7" t="s">
        <v>1</v>
      </c>
      <c r="C12" s="8">
        <v>0.18</v>
      </c>
      <c r="D12" s="9">
        <v>27.64</v>
      </c>
      <c r="E12" s="7">
        <v>1</v>
      </c>
      <c r="F12" s="7" t="s">
        <v>45</v>
      </c>
      <c r="G12" s="7" t="s">
        <v>136</v>
      </c>
      <c r="H12" s="10">
        <f t="shared" si="0"/>
        <v>1.7275</v>
      </c>
      <c r="I12" s="7">
        <v>45</v>
      </c>
      <c r="J12" s="7" t="s">
        <v>47</v>
      </c>
      <c r="K12" s="7" t="s">
        <v>48</v>
      </c>
      <c r="L12" s="7" t="s">
        <v>1</v>
      </c>
    </row>
    <row r="13" spans="1:12" ht="27.6" customHeight="1" x14ac:dyDescent="0.3">
      <c r="A13" s="7" t="s">
        <v>153</v>
      </c>
      <c r="B13" s="7" t="s">
        <v>1</v>
      </c>
      <c r="C13" s="8">
        <v>6.5000000000000002E-2</v>
      </c>
      <c r="D13" s="9">
        <v>3.99</v>
      </c>
      <c r="E13" s="7">
        <v>2</v>
      </c>
      <c r="F13" s="7" t="s">
        <v>138</v>
      </c>
      <c r="G13" s="7" t="s">
        <v>148</v>
      </c>
      <c r="H13" s="10">
        <f t="shared" si="0"/>
        <v>1.9950000000000001</v>
      </c>
      <c r="I13" s="7">
        <v>38</v>
      </c>
      <c r="J13" s="7" t="s">
        <v>75</v>
      </c>
      <c r="K13" s="7" t="s">
        <v>48</v>
      </c>
      <c r="L13" s="7" t="s">
        <v>1</v>
      </c>
    </row>
    <row r="14" spans="1:12" ht="27.6" customHeight="1" x14ac:dyDescent="0.3">
      <c r="A14" s="7" t="s">
        <v>154</v>
      </c>
      <c r="B14" s="7" t="s">
        <v>1</v>
      </c>
      <c r="C14" s="8">
        <v>0.15</v>
      </c>
      <c r="D14" s="9">
        <v>21.49</v>
      </c>
      <c r="E14" s="7">
        <v>1</v>
      </c>
      <c r="F14" s="7" t="s">
        <v>45</v>
      </c>
      <c r="G14" s="7" t="s">
        <v>148</v>
      </c>
      <c r="H14" s="10">
        <f t="shared" si="0"/>
        <v>1.3431249999999999</v>
      </c>
      <c r="I14" s="7">
        <v>45</v>
      </c>
      <c r="J14" s="7" t="s">
        <v>47</v>
      </c>
      <c r="K14" s="7" t="s">
        <v>48</v>
      </c>
      <c r="L14" s="7" t="s">
        <v>1</v>
      </c>
    </row>
    <row r="15" spans="1:12" ht="27.6" customHeight="1" x14ac:dyDescent="0.3">
      <c r="A15" s="7" t="s">
        <v>155</v>
      </c>
      <c r="B15" s="7" t="s">
        <v>1</v>
      </c>
      <c r="C15" s="8">
        <v>0.6</v>
      </c>
      <c r="D15" s="9">
        <v>5</v>
      </c>
      <c r="E15" s="7" t="s">
        <v>1</v>
      </c>
      <c r="F15" s="7" t="s">
        <v>1</v>
      </c>
      <c r="G15" s="7" t="s">
        <v>156</v>
      </c>
      <c r="H15" s="10" t="str">
        <f t="shared" si="0"/>
        <v/>
      </c>
      <c r="I15" s="7">
        <v>1</v>
      </c>
      <c r="J15" s="7" t="s">
        <v>157</v>
      </c>
      <c r="K15" s="7" t="s">
        <v>48</v>
      </c>
      <c r="L15" s="7" t="s">
        <v>1</v>
      </c>
    </row>
    <row r="16" spans="1:12" ht="27.6" customHeight="1" x14ac:dyDescent="0.3">
      <c r="A16" s="7" t="s">
        <v>158</v>
      </c>
      <c r="B16" s="7" t="s">
        <v>1</v>
      </c>
      <c r="C16" s="8">
        <v>5.5E-2</v>
      </c>
      <c r="D16" s="9">
        <v>4</v>
      </c>
      <c r="E16" s="7">
        <v>2</v>
      </c>
      <c r="F16" s="7" t="s">
        <v>138</v>
      </c>
      <c r="G16" s="7" t="s">
        <v>148</v>
      </c>
      <c r="H16" s="10">
        <f t="shared" si="0"/>
        <v>2</v>
      </c>
      <c r="I16" s="7">
        <v>45</v>
      </c>
      <c r="J16" s="7" t="s">
        <v>47</v>
      </c>
      <c r="K16" s="7" t="s">
        <v>51</v>
      </c>
      <c r="L16" s="7" t="s">
        <v>159</v>
      </c>
    </row>
    <row r="17" spans="1:12" ht="27.6" customHeight="1" x14ac:dyDescent="0.3">
      <c r="A17" s="7" t="s">
        <v>160</v>
      </c>
      <c r="B17" s="7" t="s">
        <v>1</v>
      </c>
      <c r="C17" s="8">
        <v>0.13400000000000001</v>
      </c>
      <c r="D17" s="9">
        <v>15</v>
      </c>
      <c r="E17" s="7">
        <v>1</v>
      </c>
      <c r="F17" s="7" t="s">
        <v>45</v>
      </c>
      <c r="G17" s="7" t="s">
        <v>136</v>
      </c>
      <c r="H17" s="10">
        <f t="shared" si="0"/>
        <v>0.9375</v>
      </c>
      <c r="I17" s="7">
        <v>45</v>
      </c>
      <c r="J17" s="7" t="s">
        <v>47</v>
      </c>
      <c r="K17" s="7" t="s">
        <v>48</v>
      </c>
      <c r="L17" s="7" t="s">
        <v>1</v>
      </c>
    </row>
    <row r="18" spans="1:12" ht="27.6" customHeight="1" x14ac:dyDescent="0.3">
      <c r="A18" s="7" t="s">
        <v>161</v>
      </c>
      <c r="B18" s="7" t="s">
        <v>1</v>
      </c>
      <c r="C18" s="8">
        <v>0.15</v>
      </c>
      <c r="D18" s="9">
        <v>14.99</v>
      </c>
      <c r="E18" s="7">
        <v>1</v>
      </c>
      <c r="F18" s="7" t="s">
        <v>45</v>
      </c>
      <c r="G18" s="7" t="s">
        <v>136</v>
      </c>
      <c r="H18" s="10">
        <f t="shared" si="0"/>
        <v>0.93687500000000001</v>
      </c>
      <c r="I18" s="7">
        <v>1</v>
      </c>
      <c r="J18" s="7" t="s">
        <v>96</v>
      </c>
      <c r="K18" s="7" t="s">
        <v>48</v>
      </c>
      <c r="L18" s="7" t="s">
        <v>1</v>
      </c>
    </row>
    <row r="19" spans="1:12" ht="27.6" customHeight="1" x14ac:dyDescent="0.3">
      <c r="A19" s="7" t="s">
        <v>162</v>
      </c>
      <c r="B19" s="7" t="s">
        <v>1</v>
      </c>
      <c r="C19" s="8">
        <v>0.05</v>
      </c>
      <c r="D19" s="9">
        <v>4</v>
      </c>
      <c r="E19" s="7">
        <v>2</v>
      </c>
      <c r="F19" s="7" t="s">
        <v>138</v>
      </c>
      <c r="G19" s="7" t="s">
        <v>148</v>
      </c>
      <c r="H19" s="10">
        <f t="shared" si="0"/>
        <v>2</v>
      </c>
      <c r="I19" s="7">
        <v>45</v>
      </c>
      <c r="J19" s="7" t="s">
        <v>47</v>
      </c>
      <c r="K19" s="7" t="s">
        <v>51</v>
      </c>
      <c r="L19" s="7" t="s">
        <v>163</v>
      </c>
    </row>
    <row r="20" spans="1:12" ht="27.6" customHeight="1" x14ac:dyDescent="0.3">
      <c r="A20" s="7" t="s">
        <v>164</v>
      </c>
      <c r="B20" s="7" t="s">
        <v>1</v>
      </c>
      <c r="C20" s="8">
        <v>0.15</v>
      </c>
      <c r="D20" s="9">
        <v>13.5</v>
      </c>
      <c r="E20" s="7">
        <v>1</v>
      </c>
      <c r="F20" s="7" t="s">
        <v>45</v>
      </c>
      <c r="G20" s="7" t="s">
        <v>136</v>
      </c>
      <c r="H20" s="10">
        <f t="shared" si="0"/>
        <v>0.84375</v>
      </c>
      <c r="I20" s="7">
        <v>9</v>
      </c>
      <c r="J20" s="7" t="s">
        <v>165</v>
      </c>
      <c r="K20" s="7" t="s">
        <v>51</v>
      </c>
      <c r="L20" s="7" t="s">
        <v>166</v>
      </c>
    </row>
    <row r="21" spans="1:12" ht="27.6" customHeight="1" x14ac:dyDescent="0.3">
      <c r="A21" s="7" t="s">
        <v>167</v>
      </c>
      <c r="B21" s="7" t="s">
        <v>1</v>
      </c>
      <c r="C21" s="8">
        <v>0.105</v>
      </c>
      <c r="D21" s="9">
        <v>4.99</v>
      </c>
      <c r="E21" s="7">
        <v>2</v>
      </c>
      <c r="F21" s="7" t="s">
        <v>138</v>
      </c>
      <c r="G21" s="7" t="s">
        <v>148</v>
      </c>
      <c r="H21" s="10">
        <f t="shared" si="0"/>
        <v>2.4950000000000001</v>
      </c>
      <c r="I21" s="7">
        <v>34</v>
      </c>
      <c r="J21" s="7" t="s">
        <v>84</v>
      </c>
      <c r="K21" s="7" t="s">
        <v>51</v>
      </c>
      <c r="L21" s="7" t="s">
        <v>168</v>
      </c>
    </row>
    <row r="22" spans="1:12" ht="27.6" customHeight="1" x14ac:dyDescent="0.3">
      <c r="A22" s="7" t="s">
        <v>169</v>
      </c>
      <c r="B22" s="7" t="s">
        <v>1</v>
      </c>
      <c r="C22" s="8">
        <v>2.9000000000000001E-2</v>
      </c>
      <c r="D22" s="9">
        <v>9.75</v>
      </c>
      <c r="E22" s="7">
        <v>0.5</v>
      </c>
      <c r="F22" s="7" t="s">
        <v>45</v>
      </c>
      <c r="G22" s="7" t="s">
        <v>136</v>
      </c>
      <c r="H22" s="10">
        <f t="shared" si="0"/>
        <v>1.21875</v>
      </c>
      <c r="I22" s="7">
        <v>45</v>
      </c>
      <c r="J22" s="7" t="s">
        <v>47</v>
      </c>
      <c r="K22" s="7" t="s">
        <v>51</v>
      </c>
      <c r="L22" s="7" t="s">
        <v>170</v>
      </c>
    </row>
    <row r="23" spans="1:12" ht="41.4" customHeight="1" x14ac:dyDescent="0.3">
      <c r="A23" s="7" t="s">
        <v>171</v>
      </c>
      <c r="B23" s="7" t="s">
        <v>1</v>
      </c>
      <c r="C23" s="8">
        <v>0.19</v>
      </c>
      <c r="D23" s="9">
        <v>0</v>
      </c>
      <c r="E23" s="7" t="s">
        <v>1</v>
      </c>
      <c r="F23" s="7" t="s">
        <v>1</v>
      </c>
      <c r="G23" s="7" t="s">
        <v>1</v>
      </c>
      <c r="H23" s="10" t="str">
        <f t="shared" si="0"/>
        <v/>
      </c>
      <c r="I23" s="7">
        <v>1</v>
      </c>
      <c r="J23" s="7" t="s">
        <v>172</v>
      </c>
      <c r="K23" s="7" t="s">
        <v>48</v>
      </c>
      <c r="L23" s="7" t="s">
        <v>1</v>
      </c>
    </row>
    <row r="24" spans="1:12" ht="41.4" customHeight="1" x14ac:dyDescent="0.3">
      <c r="A24" s="7" t="s">
        <v>173</v>
      </c>
      <c r="B24" s="7" t="s">
        <v>1</v>
      </c>
      <c r="C24" s="8">
        <v>0.06</v>
      </c>
      <c r="D24" s="9">
        <v>0</v>
      </c>
      <c r="E24" s="7" t="s">
        <v>1</v>
      </c>
      <c r="F24" s="7" t="s">
        <v>1</v>
      </c>
      <c r="G24" s="7" t="s">
        <v>1</v>
      </c>
      <c r="H24" s="10" t="str">
        <f t="shared" si="0"/>
        <v/>
      </c>
      <c r="I24" s="7">
        <v>1</v>
      </c>
      <c r="J24" s="7" t="s">
        <v>172</v>
      </c>
      <c r="K24" s="7" t="s">
        <v>48</v>
      </c>
      <c r="L24" s="7" t="s">
        <v>1</v>
      </c>
    </row>
    <row r="25" spans="1:12" ht="27.6" customHeight="1" x14ac:dyDescent="0.3">
      <c r="A25" s="7" t="s">
        <v>174</v>
      </c>
      <c r="B25" s="7" t="s">
        <v>1</v>
      </c>
      <c r="C25" s="8">
        <v>0.14000000000000001</v>
      </c>
      <c r="D25" s="9">
        <v>18.989999999999998</v>
      </c>
      <c r="E25" s="7">
        <v>1</v>
      </c>
      <c r="F25" s="7" t="s">
        <v>45</v>
      </c>
      <c r="G25" s="7" t="s">
        <v>136</v>
      </c>
      <c r="H25" s="10">
        <f t="shared" si="0"/>
        <v>1.1868749999999999</v>
      </c>
      <c r="I25" s="7">
        <v>45</v>
      </c>
      <c r="J25" s="7" t="s">
        <v>47</v>
      </c>
      <c r="K25" s="7" t="s">
        <v>48</v>
      </c>
      <c r="L25" s="7" t="s">
        <v>1</v>
      </c>
    </row>
    <row r="26" spans="1:12" ht="27.6" customHeight="1" x14ac:dyDescent="0.3">
      <c r="A26" s="7" t="s">
        <v>175</v>
      </c>
      <c r="B26" s="7" t="s">
        <v>1</v>
      </c>
      <c r="C26" s="8">
        <v>0.153</v>
      </c>
      <c r="D26" s="9">
        <v>24.99</v>
      </c>
      <c r="E26" s="7">
        <v>1</v>
      </c>
      <c r="F26" s="7" t="s">
        <v>45</v>
      </c>
      <c r="G26" s="7" t="s">
        <v>148</v>
      </c>
      <c r="H26" s="10">
        <f t="shared" si="0"/>
        <v>1.5618749999999999</v>
      </c>
      <c r="I26" s="7">
        <v>45</v>
      </c>
      <c r="J26" s="7" t="s">
        <v>47</v>
      </c>
      <c r="K26" s="7" t="s">
        <v>48</v>
      </c>
      <c r="L26" s="7" t="s">
        <v>1</v>
      </c>
    </row>
    <row r="27" spans="1:12" ht="27.6" customHeight="1" x14ac:dyDescent="0.3">
      <c r="A27" s="7" t="s">
        <v>176</v>
      </c>
      <c r="B27" s="7" t="s">
        <v>1</v>
      </c>
      <c r="C27" s="8">
        <v>0.13</v>
      </c>
      <c r="D27" s="9">
        <v>15</v>
      </c>
      <c r="E27" s="7">
        <v>1</v>
      </c>
      <c r="F27" s="7" t="s">
        <v>45</v>
      </c>
      <c r="G27" s="7" t="s">
        <v>136</v>
      </c>
      <c r="H27" s="10">
        <f t="shared" si="0"/>
        <v>0.9375</v>
      </c>
      <c r="I27" s="7">
        <v>45</v>
      </c>
      <c r="J27" s="7" t="s">
        <v>47</v>
      </c>
      <c r="K27" s="7" t="s">
        <v>48</v>
      </c>
      <c r="L27" s="7" t="s">
        <v>1</v>
      </c>
    </row>
    <row r="28" spans="1:12" ht="27.6" customHeight="1" x14ac:dyDescent="0.3">
      <c r="A28" s="7" t="s">
        <v>177</v>
      </c>
      <c r="B28" s="7" t="s">
        <v>1</v>
      </c>
      <c r="C28" s="8">
        <v>0.12</v>
      </c>
      <c r="D28" s="9">
        <v>27.64</v>
      </c>
      <c r="E28" s="7">
        <v>1</v>
      </c>
      <c r="F28" s="7" t="s">
        <v>45</v>
      </c>
      <c r="G28" s="7" t="s">
        <v>136</v>
      </c>
      <c r="H28" s="10">
        <f t="shared" si="0"/>
        <v>1.7275</v>
      </c>
      <c r="I28" s="7">
        <v>45</v>
      </c>
      <c r="J28" s="7" t="s">
        <v>47</v>
      </c>
      <c r="K28" s="7" t="s">
        <v>48</v>
      </c>
      <c r="L28" s="7" t="s">
        <v>1</v>
      </c>
    </row>
    <row r="29" spans="1:12" ht="27.6" customHeight="1" x14ac:dyDescent="0.3">
      <c r="A29" s="7" t="s">
        <v>178</v>
      </c>
      <c r="B29" s="7" t="s">
        <v>1</v>
      </c>
      <c r="C29" s="8">
        <v>0.17499999999999999</v>
      </c>
      <c r="D29" s="9">
        <v>11.75</v>
      </c>
      <c r="E29" s="7">
        <v>1</v>
      </c>
      <c r="F29" s="7" t="s">
        <v>45</v>
      </c>
      <c r="G29" s="7" t="s">
        <v>136</v>
      </c>
      <c r="H29" s="10">
        <f t="shared" si="0"/>
        <v>0.734375</v>
      </c>
      <c r="I29" s="7">
        <v>45</v>
      </c>
      <c r="J29" s="7" t="s">
        <v>47</v>
      </c>
      <c r="K29" s="7" t="s">
        <v>48</v>
      </c>
      <c r="L29" s="7" t="s">
        <v>1</v>
      </c>
    </row>
    <row r="30" spans="1:12" ht="27.6" customHeight="1" x14ac:dyDescent="0.3">
      <c r="A30" s="7" t="s">
        <v>179</v>
      </c>
      <c r="B30" s="7" t="s">
        <v>1</v>
      </c>
      <c r="C30" s="8">
        <v>7.0000000000000007E-2</v>
      </c>
      <c r="D30" s="9">
        <v>2</v>
      </c>
      <c r="E30" s="7">
        <v>0.5</v>
      </c>
      <c r="F30" s="7" t="s">
        <v>45</v>
      </c>
      <c r="G30" s="7" t="s">
        <v>136</v>
      </c>
      <c r="H30" s="10">
        <f t="shared" si="0"/>
        <v>0.25</v>
      </c>
      <c r="I30" s="7">
        <v>34</v>
      </c>
      <c r="J30" s="7" t="s">
        <v>84</v>
      </c>
      <c r="K30" s="7" t="s">
        <v>51</v>
      </c>
      <c r="L30" s="7" t="s">
        <v>180</v>
      </c>
    </row>
    <row r="31" spans="1:12" ht="55.2" customHeight="1" x14ac:dyDescent="0.3">
      <c r="A31" s="7" t="s">
        <v>181</v>
      </c>
      <c r="B31" s="7" t="s">
        <v>1</v>
      </c>
      <c r="C31" s="8">
        <v>4.9000000000000002E-2</v>
      </c>
      <c r="D31" s="9">
        <v>2</v>
      </c>
      <c r="E31" s="7">
        <v>2</v>
      </c>
      <c r="F31" s="7" t="s">
        <v>138</v>
      </c>
      <c r="G31" s="7" t="s">
        <v>136</v>
      </c>
      <c r="H31" s="10">
        <f t="shared" si="0"/>
        <v>1</v>
      </c>
      <c r="I31" s="7">
        <v>26</v>
      </c>
      <c r="J31" s="7" t="s">
        <v>182</v>
      </c>
      <c r="K31" s="7" t="s">
        <v>51</v>
      </c>
      <c r="L31" s="7" t="s">
        <v>183</v>
      </c>
    </row>
    <row r="32" spans="1:12" ht="27.6" customHeight="1" x14ac:dyDescent="0.3">
      <c r="A32" s="7" t="s">
        <v>184</v>
      </c>
      <c r="B32" s="7" t="s">
        <v>1</v>
      </c>
      <c r="C32" s="8">
        <v>0.09</v>
      </c>
      <c r="D32" s="9">
        <v>0</v>
      </c>
      <c r="E32" s="7" t="s">
        <v>1</v>
      </c>
      <c r="F32" s="7" t="s">
        <v>1</v>
      </c>
      <c r="G32" s="7" t="s">
        <v>185</v>
      </c>
      <c r="H32" s="10" t="str">
        <f t="shared" si="0"/>
        <v/>
      </c>
      <c r="I32" s="7">
        <v>3</v>
      </c>
      <c r="J32" s="7" t="s">
        <v>186</v>
      </c>
      <c r="K32" s="7" t="s">
        <v>51</v>
      </c>
      <c r="L32" s="7" t="s">
        <v>187</v>
      </c>
    </row>
    <row r="33" spans="1:12" ht="27.6" customHeight="1" x14ac:dyDescent="0.3">
      <c r="A33" s="7" t="s">
        <v>188</v>
      </c>
      <c r="B33" s="7" t="s">
        <v>1</v>
      </c>
      <c r="C33" s="8">
        <v>0.125</v>
      </c>
      <c r="D33" s="9">
        <v>13.5</v>
      </c>
      <c r="E33" s="7">
        <v>0.5</v>
      </c>
      <c r="F33" s="7" t="s">
        <v>45</v>
      </c>
      <c r="G33" s="7" t="s">
        <v>136</v>
      </c>
      <c r="H33" s="10">
        <f t="shared" si="0"/>
        <v>1.6875</v>
      </c>
      <c r="I33" s="7">
        <v>34</v>
      </c>
      <c r="J33" s="7" t="s">
        <v>84</v>
      </c>
      <c r="K33" s="7" t="s">
        <v>51</v>
      </c>
      <c r="L33" s="7" t="s">
        <v>189</v>
      </c>
    </row>
    <row r="34" spans="1:12" ht="27.6" customHeight="1" x14ac:dyDescent="0.3">
      <c r="A34" s="7" t="s">
        <v>190</v>
      </c>
      <c r="B34" s="7" t="s">
        <v>1</v>
      </c>
      <c r="C34" s="8">
        <v>0.14699999999999999</v>
      </c>
      <c r="D34" s="9">
        <v>11</v>
      </c>
      <c r="E34" s="7">
        <v>1</v>
      </c>
      <c r="F34" s="7" t="s">
        <v>45</v>
      </c>
      <c r="G34" s="7" t="s">
        <v>136</v>
      </c>
      <c r="H34" s="10">
        <f t="shared" si="0"/>
        <v>0.6875</v>
      </c>
      <c r="I34" s="7">
        <v>45</v>
      </c>
      <c r="J34" s="7" t="s">
        <v>47</v>
      </c>
      <c r="K34" s="7" t="s">
        <v>48</v>
      </c>
      <c r="L34" s="7" t="s">
        <v>1</v>
      </c>
    </row>
    <row r="35" spans="1:12" ht="27.6" customHeight="1" x14ac:dyDescent="0.3">
      <c r="A35" s="7" t="s">
        <v>191</v>
      </c>
      <c r="B35" s="7" t="s">
        <v>1</v>
      </c>
      <c r="C35" s="8">
        <v>7.0999999999999994E-2</v>
      </c>
      <c r="D35" s="9">
        <v>15</v>
      </c>
      <c r="E35" s="7">
        <v>1</v>
      </c>
      <c r="F35" s="7" t="s">
        <v>45</v>
      </c>
      <c r="G35" s="7" t="s">
        <v>136</v>
      </c>
      <c r="H35" s="10">
        <f t="shared" si="0"/>
        <v>0.9375</v>
      </c>
      <c r="I35" s="7">
        <v>45</v>
      </c>
      <c r="J35" s="7" t="s">
        <v>47</v>
      </c>
      <c r="K35" s="7" t="s">
        <v>48</v>
      </c>
      <c r="L35" s="7" t="s">
        <v>1</v>
      </c>
    </row>
    <row r="36" spans="1:12" ht="27.6" customHeight="1" x14ac:dyDescent="0.3">
      <c r="A36" s="7" t="s">
        <v>192</v>
      </c>
      <c r="B36" s="7" t="s">
        <v>1</v>
      </c>
      <c r="C36" s="8">
        <v>0.03</v>
      </c>
      <c r="D36" s="9">
        <v>4</v>
      </c>
      <c r="E36" s="7">
        <v>2</v>
      </c>
      <c r="F36" s="7" t="s">
        <v>138</v>
      </c>
      <c r="G36" s="7" t="s">
        <v>148</v>
      </c>
      <c r="H36" s="10">
        <f t="shared" si="0"/>
        <v>2</v>
      </c>
      <c r="I36" s="7">
        <v>1</v>
      </c>
      <c r="J36" s="7" t="s">
        <v>119</v>
      </c>
      <c r="K36" s="7" t="s">
        <v>48</v>
      </c>
      <c r="L36" s="7" t="s">
        <v>1</v>
      </c>
    </row>
    <row r="37" spans="1:12" ht="27.6" customHeight="1" x14ac:dyDescent="0.3">
      <c r="A37" s="7" t="s">
        <v>193</v>
      </c>
      <c r="B37" s="7" t="s">
        <v>1</v>
      </c>
      <c r="C37" s="8">
        <v>0.03</v>
      </c>
      <c r="D37" s="9">
        <v>4</v>
      </c>
      <c r="E37" s="7">
        <v>2</v>
      </c>
      <c r="F37" s="7" t="s">
        <v>138</v>
      </c>
      <c r="G37" s="7" t="s">
        <v>148</v>
      </c>
      <c r="H37" s="10">
        <f t="shared" si="0"/>
        <v>2</v>
      </c>
      <c r="I37" s="7">
        <v>1</v>
      </c>
      <c r="J37" s="7" t="s">
        <v>119</v>
      </c>
      <c r="K37" s="7" t="s">
        <v>48</v>
      </c>
      <c r="L37" s="7" t="s">
        <v>1</v>
      </c>
    </row>
    <row r="38" spans="1:12" ht="27.6" customHeight="1" x14ac:dyDescent="0.3">
      <c r="A38" s="7" t="s">
        <v>194</v>
      </c>
      <c r="B38" s="7" t="s">
        <v>1</v>
      </c>
      <c r="C38" s="8">
        <v>0.123</v>
      </c>
      <c r="D38" s="9">
        <v>18.989999999999998</v>
      </c>
      <c r="E38" s="7">
        <v>1</v>
      </c>
      <c r="F38" s="7" t="s">
        <v>45</v>
      </c>
      <c r="G38" s="7" t="s">
        <v>136</v>
      </c>
      <c r="H38" s="10">
        <f t="shared" si="0"/>
        <v>1.1868749999999999</v>
      </c>
      <c r="I38" s="7">
        <v>45</v>
      </c>
      <c r="J38" s="7" t="s">
        <v>47</v>
      </c>
      <c r="K38" s="7" t="s">
        <v>48</v>
      </c>
      <c r="L38" s="7" t="s">
        <v>1</v>
      </c>
    </row>
    <row r="39" spans="1:12" ht="27.6" customHeight="1" x14ac:dyDescent="0.3">
      <c r="A39" s="7" t="s">
        <v>195</v>
      </c>
      <c r="B39" s="7" t="s">
        <v>1</v>
      </c>
      <c r="C39" s="8">
        <v>9.5000000000000001E-2</v>
      </c>
      <c r="D39" s="9">
        <v>13</v>
      </c>
      <c r="E39" s="7">
        <v>1</v>
      </c>
      <c r="F39" s="7" t="s">
        <v>45</v>
      </c>
      <c r="G39" s="7" t="s">
        <v>136</v>
      </c>
      <c r="H39" s="10">
        <f t="shared" si="0"/>
        <v>0.8125</v>
      </c>
      <c r="I39" s="7">
        <v>45</v>
      </c>
      <c r="J39" s="7" t="s">
        <v>47</v>
      </c>
      <c r="K39" s="7" t="s">
        <v>51</v>
      </c>
      <c r="L39" s="7" t="s">
        <v>196</v>
      </c>
    </row>
    <row r="40" spans="1:12" ht="27.6" customHeight="1" x14ac:dyDescent="0.3">
      <c r="A40" s="7" t="s">
        <v>197</v>
      </c>
      <c r="B40" s="7" t="s">
        <v>1</v>
      </c>
      <c r="C40" s="8">
        <v>2.9000000000000001E-2</v>
      </c>
      <c r="D40" s="9">
        <v>3.49</v>
      </c>
      <c r="E40" s="7">
        <v>2</v>
      </c>
      <c r="F40" s="7" t="s">
        <v>138</v>
      </c>
      <c r="G40" s="7" t="s">
        <v>148</v>
      </c>
      <c r="H40" s="10">
        <f t="shared" si="0"/>
        <v>1.7450000000000001</v>
      </c>
      <c r="I40" s="7">
        <v>1</v>
      </c>
      <c r="J40" s="7" t="s">
        <v>198</v>
      </c>
      <c r="K40" s="7" t="s">
        <v>48</v>
      </c>
      <c r="L40" s="7" t="s">
        <v>1</v>
      </c>
    </row>
    <row r="41" spans="1:12" ht="27.6" customHeight="1" x14ac:dyDescent="0.3">
      <c r="A41" s="7" t="s">
        <v>199</v>
      </c>
      <c r="B41" s="7" t="s">
        <v>1</v>
      </c>
      <c r="C41" s="8">
        <v>0.04</v>
      </c>
      <c r="D41" s="9">
        <v>4.29</v>
      </c>
      <c r="E41" s="7">
        <v>2</v>
      </c>
      <c r="F41" s="7" t="s">
        <v>138</v>
      </c>
      <c r="G41" s="7" t="s">
        <v>56</v>
      </c>
      <c r="H41" s="10">
        <f t="shared" si="0"/>
        <v>2.145</v>
      </c>
      <c r="I41" s="7">
        <v>1</v>
      </c>
      <c r="J41" s="7" t="s">
        <v>66</v>
      </c>
      <c r="K41" s="7" t="s">
        <v>48</v>
      </c>
      <c r="L41" s="7" t="s">
        <v>1</v>
      </c>
    </row>
    <row r="42" spans="1:12" ht="27.6" customHeight="1" x14ac:dyDescent="0.3">
      <c r="A42" s="7" t="s">
        <v>200</v>
      </c>
      <c r="B42" s="7" t="s">
        <v>1</v>
      </c>
      <c r="C42" s="8">
        <v>0.125</v>
      </c>
      <c r="D42" s="9">
        <v>14.99</v>
      </c>
      <c r="E42" s="7">
        <v>0.5</v>
      </c>
      <c r="F42" s="7" t="s">
        <v>45</v>
      </c>
      <c r="G42" s="7" t="s">
        <v>136</v>
      </c>
      <c r="H42" s="10">
        <f t="shared" si="0"/>
        <v>1.87375</v>
      </c>
      <c r="I42" s="7">
        <v>1</v>
      </c>
      <c r="J42" s="7" t="s">
        <v>201</v>
      </c>
      <c r="K42" s="7" t="s">
        <v>48</v>
      </c>
      <c r="L42" s="7" t="s">
        <v>1</v>
      </c>
    </row>
    <row r="43" spans="1:12" ht="27.6" customHeight="1" x14ac:dyDescent="0.3">
      <c r="A43" s="7" t="s">
        <v>202</v>
      </c>
      <c r="B43" s="7" t="s">
        <v>1</v>
      </c>
      <c r="C43" s="8">
        <v>2.5999999999999999E-2</v>
      </c>
      <c r="D43" s="9">
        <v>6</v>
      </c>
      <c r="E43" s="7">
        <v>2</v>
      </c>
      <c r="F43" s="7" t="s">
        <v>138</v>
      </c>
      <c r="G43" s="7" t="s">
        <v>203</v>
      </c>
      <c r="H43" s="10">
        <f t="shared" si="0"/>
        <v>3</v>
      </c>
      <c r="I43" s="7">
        <v>3</v>
      </c>
      <c r="J43" s="7" t="s">
        <v>204</v>
      </c>
      <c r="K43" s="7" t="s">
        <v>51</v>
      </c>
      <c r="L43" s="7" t="s">
        <v>205</v>
      </c>
    </row>
    <row r="44" spans="1:12" ht="27.6" customHeight="1" x14ac:dyDescent="0.3">
      <c r="A44" s="7" t="s">
        <v>206</v>
      </c>
      <c r="B44" s="7" t="s">
        <v>1</v>
      </c>
      <c r="C44" s="8">
        <v>0.15</v>
      </c>
      <c r="D44" s="9">
        <v>2</v>
      </c>
      <c r="E44" s="7">
        <v>2</v>
      </c>
      <c r="F44" s="7" t="s">
        <v>138</v>
      </c>
      <c r="G44" s="7" t="s">
        <v>136</v>
      </c>
      <c r="H44" s="10">
        <f t="shared" si="0"/>
        <v>1</v>
      </c>
      <c r="I44" s="7">
        <v>28</v>
      </c>
      <c r="J44" s="7" t="s">
        <v>207</v>
      </c>
      <c r="K44" s="7" t="s">
        <v>48</v>
      </c>
      <c r="L44" s="7" t="s">
        <v>1</v>
      </c>
    </row>
  </sheetData>
  <autoFilter ref="A1:L1" xr:uid="{00000000-0009-0000-0000-000002000000}"/>
  <dataValidations count="1">
    <dataValidation type="list" allowBlank="1" sqref="K2:K44" xr:uid="{00000000-0002-0000-0200-000000000000}">
      <formula1>"Check,OK,Confirmed"</formula1>
    </dataValidation>
  </dataValidations>
  <pageMargins left="0.7" right="0.7" top="0.75" bottom="0.75" header="0.3" footer="0.3"/>
  <pageSetup orientation="portrait" useFirstPageNumber="1" horizontalDpi="4294967295" verticalDpi="4294967295"/>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L33"/>
  <sheetViews>
    <sheetView zoomScaleNormal="100" workbookViewId="0">
      <pane ySplit="1" topLeftCell="A12" activePane="bottomLeft" state="frozen"/>
      <selection pane="bottomLeft" activeCell="J21" sqref="J21"/>
    </sheetView>
  </sheetViews>
  <sheetFormatPr defaultRowHeight="14.4" customHeight="1" x14ac:dyDescent="0.3"/>
  <cols>
    <col min="1" max="1" width="26" customWidth="1"/>
    <col min="2" max="2" width="12" customWidth="1"/>
    <col min="3" max="3" width="11" customWidth="1"/>
    <col min="4" max="4" width="10" customWidth="1"/>
    <col min="5" max="5" width="12" customWidth="1"/>
    <col min="6" max="7" width="10" customWidth="1"/>
    <col min="8" max="8" width="11" customWidth="1"/>
    <col min="10" max="10" width="38" customWidth="1"/>
    <col min="11" max="11" width="11" customWidth="1"/>
    <col min="12" max="12" width="60" customWidth="1"/>
  </cols>
  <sheetData>
    <row r="1" spans="1:12" s="6" customFormat="1" ht="31.95" customHeight="1" x14ac:dyDescent="0.3">
      <c r="A1" s="6" t="s">
        <v>31</v>
      </c>
      <c r="B1" s="6" t="s">
        <v>208</v>
      </c>
      <c r="C1" s="6" t="s">
        <v>209</v>
      </c>
      <c r="D1" s="6" t="s">
        <v>210</v>
      </c>
      <c r="E1" s="6" t="s">
        <v>211</v>
      </c>
      <c r="F1" s="6" t="s">
        <v>212</v>
      </c>
      <c r="G1" s="6" t="s">
        <v>213</v>
      </c>
      <c r="H1" s="6" t="s">
        <v>214</v>
      </c>
      <c r="I1" s="6" t="s">
        <v>215</v>
      </c>
      <c r="J1" s="6" t="s">
        <v>41</v>
      </c>
      <c r="K1" s="6" t="s">
        <v>42</v>
      </c>
      <c r="L1" s="6" t="s">
        <v>43</v>
      </c>
    </row>
    <row r="2" spans="1:12" ht="43.5" customHeight="1" x14ac:dyDescent="0.3">
      <c r="A2" s="7" t="s">
        <v>216</v>
      </c>
      <c r="B2" s="7" t="s">
        <v>217</v>
      </c>
      <c r="C2" s="7" t="s">
        <v>218</v>
      </c>
      <c r="D2" s="7" t="s">
        <v>219</v>
      </c>
      <c r="E2" s="8">
        <v>0.8</v>
      </c>
      <c r="F2" s="7">
        <v>60</v>
      </c>
      <c r="G2" s="7">
        <v>72</v>
      </c>
      <c r="H2" s="7">
        <v>67</v>
      </c>
      <c r="I2" s="7">
        <v>5</v>
      </c>
      <c r="J2" s="7" t="s">
        <v>220</v>
      </c>
      <c r="K2" s="7" t="s">
        <v>51</v>
      </c>
      <c r="L2" s="7" t="s">
        <v>221</v>
      </c>
    </row>
    <row r="3" spans="1:12" ht="28.5" customHeight="1" x14ac:dyDescent="0.3">
      <c r="A3" s="7" t="s">
        <v>222</v>
      </c>
      <c r="B3" s="7" t="s">
        <v>217</v>
      </c>
      <c r="C3" s="7" t="s">
        <v>223</v>
      </c>
      <c r="D3" s="7" t="s">
        <v>219</v>
      </c>
      <c r="E3" s="8">
        <v>0.77</v>
      </c>
      <c r="F3" s="7">
        <v>64</v>
      </c>
      <c r="G3" s="7">
        <v>70</v>
      </c>
      <c r="H3" s="7">
        <v>68</v>
      </c>
      <c r="I3" s="7">
        <v>1</v>
      </c>
      <c r="J3" s="7" t="s">
        <v>224</v>
      </c>
      <c r="K3" s="7" t="s">
        <v>51</v>
      </c>
      <c r="L3" s="7" t="s">
        <v>225</v>
      </c>
    </row>
    <row r="4" spans="1:12" ht="43.5" customHeight="1" x14ac:dyDescent="0.3">
      <c r="A4" s="7" t="s">
        <v>226</v>
      </c>
      <c r="B4" s="7" t="s">
        <v>217</v>
      </c>
      <c r="C4" s="7" t="s">
        <v>227</v>
      </c>
      <c r="D4" s="7" t="s">
        <v>219</v>
      </c>
      <c r="E4" s="8">
        <v>0.77</v>
      </c>
      <c r="F4" s="7">
        <v>64</v>
      </c>
      <c r="G4" s="7">
        <v>74</v>
      </c>
      <c r="H4" s="7">
        <v>68</v>
      </c>
      <c r="I4" s="7">
        <v>6</v>
      </c>
      <c r="J4" s="7" t="s">
        <v>228</v>
      </c>
      <c r="K4" s="7" t="s">
        <v>51</v>
      </c>
      <c r="L4" s="7" t="s">
        <v>229</v>
      </c>
    </row>
    <row r="5" spans="1:12" ht="28.5" customHeight="1" x14ac:dyDescent="0.3">
      <c r="A5" s="7" t="s">
        <v>230</v>
      </c>
      <c r="B5" s="7" t="s">
        <v>217</v>
      </c>
      <c r="C5" s="7" t="s">
        <v>231</v>
      </c>
      <c r="D5" s="7" t="s">
        <v>219</v>
      </c>
      <c r="E5" s="8">
        <v>0.75</v>
      </c>
      <c r="F5" s="7">
        <v>65</v>
      </c>
      <c r="G5" s="7">
        <v>100</v>
      </c>
      <c r="H5" s="7">
        <v>80</v>
      </c>
      <c r="I5" s="7">
        <v>1</v>
      </c>
      <c r="J5" s="7" t="s">
        <v>232</v>
      </c>
      <c r="K5" s="7" t="s">
        <v>51</v>
      </c>
      <c r="L5" s="7" t="s">
        <v>233</v>
      </c>
    </row>
    <row r="6" spans="1:12" ht="15" customHeight="1" x14ac:dyDescent="0.3">
      <c r="A6" s="7" t="s">
        <v>234</v>
      </c>
      <c r="B6" s="7" t="s">
        <v>217</v>
      </c>
      <c r="C6" s="7" t="s">
        <v>235</v>
      </c>
      <c r="D6" s="7" t="s">
        <v>219</v>
      </c>
      <c r="E6" s="8">
        <v>0.74</v>
      </c>
      <c r="F6" s="7">
        <v>63</v>
      </c>
      <c r="G6" s="7">
        <v>73</v>
      </c>
      <c r="H6" s="7">
        <v>62</v>
      </c>
      <c r="I6" s="7"/>
      <c r="J6" s="7" t="s">
        <v>236</v>
      </c>
      <c r="K6" s="7" t="s">
        <v>51</v>
      </c>
      <c r="L6" s="7" t="s">
        <v>237</v>
      </c>
    </row>
    <row r="7" spans="1:12" ht="28.5" customHeight="1" x14ac:dyDescent="0.3">
      <c r="A7" s="7" t="s">
        <v>238</v>
      </c>
      <c r="B7" s="7" t="s">
        <v>217</v>
      </c>
      <c r="C7" s="7" t="s">
        <v>239</v>
      </c>
      <c r="D7" s="7" t="s">
        <v>219</v>
      </c>
      <c r="E7" s="8">
        <v>0.82</v>
      </c>
      <c r="F7" s="7">
        <v>60</v>
      </c>
      <c r="G7" s="7">
        <v>69</v>
      </c>
      <c r="H7" s="7">
        <v>60</v>
      </c>
      <c r="I7" s="7">
        <v>1</v>
      </c>
      <c r="J7" s="7" t="s">
        <v>240</v>
      </c>
      <c r="K7" s="7" t="s">
        <v>51</v>
      </c>
      <c r="L7" s="7" t="s">
        <v>233</v>
      </c>
    </row>
    <row r="8" spans="1:12" ht="15" customHeight="1" x14ac:dyDescent="0.3">
      <c r="A8" s="7" t="s">
        <v>241</v>
      </c>
      <c r="B8" s="7" t="s">
        <v>217</v>
      </c>
      <c r="C8" s="7" t="s">
        <v>242</v>
      </c>
      <c r="D8" s="7" t="s">
        <v>243</v>
      </c>
      <c r="E8" s="8">
        <v>0.8</v>
      </c>
      <c r="F8" s="7">
        <v>46</v>
      </c>
      <c r="G8" s="7">
        <v>56</v>
      </c>
      <c r="H8" s="7">
        <v>50</v>
      </c>
      <c r="I8" s="7"/>
      <c r="J8" s="7" t="s">
        <v>236</v>
      </c>
      <c r="K8" s="7" t="s">
        <v>51</v>
      </c>
      <c r="L8" s="7" t="s">
        <v>244</v>
      </c>
    </row>
    <row r="9" spans="1:12" ht="57.75" customHeight="1" x14ac:dyDescent="0.3">
      <c r="A9" s="7" t="s">
        <v>245</v>
      </c>
      <c r="B9" s="7" t="s">
        <v>217</v>
      </c>
      <c r="C9" s="7" t="s">
        <v>246</v>
      </c>
      <c r="D9" s="7" t="s">
        <v>243</v>
      </c>
      <c r="E9" s="8">
        <v>0.8</v>
      </c>
      <c r="F9" s="7">
        <v>50</v>
      </c>
      <c r="G9" s="7">
        <v>60</v>
      </c>
      <c r="H9" s="7">
        <v>52</v>
      </c>
      <c r="I9" s="7">
        <v>1</v>
      </c>
      <c r="J9" s="7" t="s">
        <v>247</v>
      </c>
      <c r="K9" s="7" t="s">
        <v>51</v>
      </c>
      <c r="L9" s="7" t="s">
        <v>248</v>
      </c>
    </row>
    <row r="10" spans="1:12" ht="28.5" customHeight="1" x14ac:dyDescent="0.3">
      <c r="A10" s="7" t="s">
        <v>249</v>
      </c>
      <c r="B10" s="7" t="s">
        <v>217</v>
      </c>
      <c r="C10" s="7" t="s">
        <v>250</v>
      </c>
      <c r="D10" s="7" t="s">
        <v>243</v>
      </c>
      <c r="E10" s="8">
        <v>0.77</v>
      </c>
      <c r="F10" s="7">
        <v>54</v>
      </c>
      <c r="G10" s="7">
        <v>58</v>
      </c>
      <c r="H10" s="7">
        <v>52</v>
      </c>
      <c r="I10" s="7">
        <v>1</v>
      </c>
      <c r="J10" s="7" t="s">
        <v>251</v>
      </c>
      <c r="K10" s="7" t="s">
        <v>51</v>
      </c>
      <c r="L10" s="7" t="s">
        <v>233</v>
      </c>
    </row>
    <row r="11" spans="1:12" ht="57.75" customHeight="1" x14ac:dyDescent="0.3">
      <c r="A11" s="7" t="s">
        <v>252</v>
      </c>
      <c r="B11" s="7" t="s">
        <v>253</v>
      </c>
      <c r="C11" s="7" t="s">
        <v>254</v>
      </c>
      <c r="D11" s="7" t="s">
        <v>219</v>
      </c>
      <c r="E11" s="8">
        <v>0.8</v>
      </c>
      <c r="F11" s="7">
        <v>64</v>
      </c>
      <c r="G11" s="7">
        <v>72</v>
      </c>
      <c r="H11" s="7">
        <v>68</v>
      </c>
      <c r="I11" s="7">
        <v>2</v>
      </c>
      <c r="J11" s="7" t="s">
        <v>255</v>
      </c>
      <c r="K11" s="7" t="s">
        <v>51</v>
      </c>
      <c r="L11" s="7" t="s">
        <v>256</v>
      </c>
    </row>
    <row r="12" spans="1:12" ht="57.75" customHeight="1" x14ac:dyDescent="0.3">
      <c r="A12" s="7" t="s">
        <v>257</v>
      </c>
      <c r="B12" s="7" t="s">
        <v>253</v>
      </c>
      <c r="C12" s="7" t="s">
        <v>258</v>
      </c>
      <c r="D12" s="7" t="s">
        <v>219</v>
      </c>
      <c r="E12" s="8">
        <v>0.85</v>
      </c>
      <c r="F12" s="7">
        <v>54</v>
      </c>
      <c r="G12" s="7">
        <v>95</v>
      </c>
      <c r="H12" s="7">
        <v>70</v>
      </c>
      <c r="I12" s="7">
        <v>3</v>
      </c>
      <c r="J12" s="7" t="s">
        <v>259</v>
      </c>
      <c r="K12" s="7" t="s">
        <v>51</v>
      </c>
      <c r="L12" s="7" t="s">
        <v>260</v>
      </c>
    </row>
    <row r="13" spans="1:12" ht="28.5" customHeight="1" x14ac:dyDescent="0.3">
      <c r="A13" s="7" t="s">
        <v>261</v>
      </c>
      <c r="B13" s="7" t="s">
        <v>253</v>
      </c>
      <c r="C13" s="7" t="s">
        <v>262</v>
      </c>
      <c r="D13" s="7" t="s">
        <v>219</v>
      </c>
      <c r="E13" s="8">
        <v>0.78</v>
      </c>
      <c r="F13" s="7">
        <v>64</v>
      </c>
      <c r="G13" s="7">
        <v>95</v>
      </c>
      <c r="H13" s="7">
        <v>90</v>
      </c>
      <c r="I13" s="7">
        <v>1</v>
      </c>
      <c r="J13" s="7" t="s">
        <v>263</v>
      </c>
      <c r="K13" s="7" t="s">
        <v>51</v>
      </c>
      <c r="L13" s="7" t="s">
        <v>233</v>
      </c>
    </row>
    <row r="14" spans="1:12" ht="28.5" customHeight="1" x14ac:dyDescent="0.3">
      <c r="A14" s="7" t="s">
        <v>264</v>
      </c>
      <c r="B14" s="7" t="s">
        <v>253</v>
      </c>
      <c r="C14" s="7" t="s">
        <v>265</v>
      </c>
      <c r="D14" s="7" t="s">
        <v>219</v>
      </c>
      <c r="E14" s="8">
        <v>0.77</v>
      </c>
      <c r="F14" s="7">
        <v>64</v>
      </c>
      <c r="G14" s="7">
        <v>72</v>
      </c>
      <c r="H14" s="7">
        <v>68</v>
      </c>
      <c r="I14" s="7">
        <v>1</v>
      </c>
      <c r="J14" s="7" t="s">
        <v>266</v>
      </c>
      <c r="K14" s="7" t="s">
        <v>51</v>
      </c>
      <c r="L14" s="7" t="s">
        <v>233</v>
      </c>
    </row>
    <row r="15" spans="1:12" ht="28.5" customHeight="1" x14ac:dyDescent="0.3">
      <c r="A15" s="7" t="s">
        <v>267</v>
      </c>
      <c r="B15" s="7" t="s">
        <v>253</v>
      </c>
      <c r="C15" s="7" t="s">
        <v>268</v>
      </c>
      <c r="D15" s="7" t="s">
        <v>219</v>
      </c>
      <c r="E15" s="8">
        <v>0.77</v>
      </c>
      <c r="F15" s="7">
        <v>64</v>
      </c>
      <c r="G15" s="7">
        <v>72</v>
      </c>
      <c r="H15" s="7">
        <v>68</v>
      </c>
      <c r="I15" s="7">
        <v>1</v>
      </c>
      <c r="J15" s="7" t="s">
        <v>269</v>
      </c>
      <c r="K15" s="7" t="s">
        <v>51</v>
      </c>
      <c r="L15" s="7" t="s">
        <v>233</v>
      </c>
    </row>
    <row r="16" spans="1:12" ht="28.5" customHeight="1" x14ac:dyDescent="0.3">
      <c r="A16" s="7" t="s">
        <v>270</v>
      </c>
      <c r="B16" s="7" t="s">
        <v>253</v>
      </c>
      <c r="C16" s="7" t="s">
        <v>271</v>
      </c>
      <c r="D16" s="7" t="s">
        <v>219</v>
      </c>
      <c r="E16" s="8">
        <v>0.8</v>
      </c>
      <c r="F16" s="7">
        <v>64</v>
      </c>
      <c r="G16" s="7">
        <v>95</v>
      </c>
      <c r="H16" s="7">
        <v>80</v>
      </c>
      <c r="I16" s="7">
        <v>2</v>
      </c>
      <c r="J16" s="7" t="s">
        <v>272</v>
      </c>
      <c r="K16" s="7" t="s">
        <v>51</v>
      </c>
      <c r="L16" s="7" t="s">
        <v>233</v>
      </c>
    </row>
    <row r="17" spans="1:12" ht="28.5" customHeight="1" x14ac:dyDescent="0.3">
      <c r="A17" s="7" t="s">
        <v>273</v>
      </c>
      <c r="B17" s="7" t="s">
        <v>274</v>
      </c>
      <c r="C17" s="7" t="s">
        <v>275</v>
      </c>
      <c r="D17" s="7" t="s">
        <v>219</v>
      </c>
      <c r="E17" s="8">
        <v>0.8</v>
      </c>
      <c r="F17" s="7">
        <v>64</v>
      </c>
      <c r="G17" s="7">
        <v>73</v>
      </c>
      <c r="H17" s="7">
        <v>68</v>
      </c>
      <c r="I17" s="7">
        <v>4</v>
      </c>
      <c r="J17" s="7" t="s">
        <v>276</v>
      </c>
      <c r="K17" s="7" t="s">
        <v>51</v>
      </c>
      <c r="L17" s="7" t="s">
        <v>277</v>
      </c>
    </row>
    <row r="18" spans="1:12" ht="28.5" customHeight="1" x14ac:dyDescent="0.3">
      <c r="A18" s="7" t="s">
        <v>278</v>
      </c>
      <c r="B18" s="7" t="s">
        <v>274</v>
      </c>
      <c r="C18" s="7" t="s">
        <v>279</v>
      </c>
      <c r="D18" s="7" t="s">
        <v>219</v>
      </c>
      <c r="E18" s="8">
        <v>0.75</v>
      </c>
      <c r="F18" s="7">
        <v>65</v>
      </c>
      <c r="G18" s="7">
        <v>68</v>
      </c>
      <c r="H18" s="7">
        <v>68</v>
      </c>
      <c r="I18" s="7">
        <v>1</v>
      </c>
      <c r="J18" s="7" t="s">
        <v>280</v>
      </c>
      <c r="K18" s="7" t="s">
        <v>51</v>
      </c>
      <c r="L18" s="7" t="s">
        <v>233</v>
      </c>
    </row>
    <row r="19" spans="1:12" ht="28.5" customHeight="1" x14ac:dyDescent="0.3">
      <c r="A19" s="7" t="s">
        <v>281</v>
      </c>
      <c r="B19" s="7" t="s">
        <v>274</v>
      </c>
      <c r="C19" s="7" t="s">
        <v>282</v>
      </c>
      <c r="D19" s="7" t="s">
        <v>219</v>
      </c>
      <c r="E19" s="8">
        <v>0.73</v>
      </c>
      <c r="F19" s="7">
        <v>65</v>
      </c>
      <c r="G19" s="7">
        <v>70</v>
      </c>
      <c r="H19" s="7">
        <v>68</v>
      </c>
      <c r="I19" s="7">
        <v>2</v>
      </c>
      <c r="J19" s="7" t="s">
        <v>283</v>
      </c>
      <c r="K19" s="7" t="s">
        <v>51</v>
      </c>
      <c r="L19" s="7" t="s">
        <v>233</v>
      </c>
    </row>
    <row r="20" spans="1:12" ht="15" customHeight="1" x14ac:dyDescent="0.3">
      <c r="A20" s="7" t="s">
        <v>284</v>
      </c>
      <c r="B20" s="7" t="s">
        <v>274</v>
      </c>
      <c r="C20" s="7" t="s">
        <v>285</v>
      </c>
      <c r="D20" s="7" t="s">
        <v>219</v>
      </c>
      <c r="E20" s="8">
        <v>0.77</v>
      </c>
      <c r="F20" s="7">
        <v>64</v>
      </c>
      <c r="G20" s="7">
        <v>74</v>
      </c>
      <c r="H20" s="7">
        <v>68</v>
      </c>
      <c r="I20" s="7"/>
      <c r="J20" s="7" t="s">
        <v>286</v>
      </c>
      <c r="K20" s="7" t="s">
        <v>51</v>
      </c>
      <c r="L20" s="7" t="s">
        <v>287</v>
      </c>
    </row>
    <row r="21" spans="1:12" ht="43.5" customHeight="1" x14ac:dyDescent="0.3">
      <c r="A21" s="7" t="s">
        <v>288</v>
      </c>
      <c r="B21" s="7" t="s">
        <v>274</v>
      </c>
      <c r="C21" s="7" t="s">
        <v>289</v>
      </c>
      <c r="D21" s="7" t="s">
        <v>219</v>
      </c>
      <c r="E21" s="8">
        <v>0.86</v>
      </c>
      <c r="F21" s="7">
        <v>66</v>
      </c>
      <c r="G21" s="7">
        <v>70</v>
      </c>
      <c r="H21" s="7">
        <v>68</v>
      </c>
      <c r="I21" s="7">
        <v>1</v>
      </c>
      <c r="J21" s="7" t="s">
        <v>290</v>
      </c>
      <c r="K21" s="7" t="s">
        <v>51</v>
      </c>
      <c r="L21" s="7" t="s">
        <v>291</v>
      </c>
    </row>
    <row r="22" spans="1:12" ht="28.5" customHeight="1" x14ac:dyDescent="0.3">
      <c r="A22" s="7" t="s">
        <v>292</v>
      </c>
      <c r="B22" s="7" t="s">
        <v>274</v>
      </c>
      <c r="C22" s="7" t="s">
        <v>293</v>
      </c>
      <c r="D22" s="7" t="s">
        <v>219</v>
      </c>
      <c r="E22" s="8">
        <v>0.76</v>
      </c>
      <c r="F22" s="7">
        <v>64</v>
      </c>
      <c r="G22" s="7">
        <v>74</v>
      </c>
      <c r="H22" s="7">
        <v>67</v>
      </c>
      <c r="I22" s="7">
        <v>1</v>
      </c>
      <c r="J22" s="7" t="s">
        <v>294</v>
      </c>
      <c r="K22" s="7" t="s">
        <v>51</v>
      </c>
      <c r="L22" s="7" t="s">
        <v>233</v>
      </c>
    </row>
    <row r="23" spans="1:12" ht="28.5" customHeight="1" x14ac:dyDescent="0.3">
      <c r="A23" s="7" t="s">
        <v>295</v>
      </c>
      <c r="B23" s="7" t="s">
        <v>274</v>
      </c>
      <c r="C23" s="7" t="s">
        <v>296</v>
      </c>
      <c r="D23" s="7" t="s">
        <v>219</v>
      </c>
      <c r="E23" s="8">
        <v>0.74</v>
      </c>
      <c r="F23" s="7">
        <v>68</v>
      </c>
      <c r="G23" s="7">
        <v>72</v>
      </c>
      <c r="H23" s="7">
        <v>62</v>
      </c>
      <c r="I23" s="7">
        <v>1</v>
      </c>
      <c r="J23" s="7" t="s">
        <v>297</v>
      </c>
      <c r="K23" s="7" t="s">
        <v>51</v>
      </c>
      <c r="L23" s="7" t="s">
        <v>233</v>
      </c>
    </row>
    <row r="24" spans="1:12" ht="28.5" customHeight="1" x14ac:dyDescent="0.3">
      <c r="A24" s="7" t="s">
        <v>298</v>
      </c>
      <c r="B24" s="7" t="s">
        <v>274</v>
      </c>
      <c r="C24" s="7" t="s">
        <v>299</v>
      </c>
      <c r="D24" s="7" t="s">
        <v>219</v>
      </c>
      <c r="E24" s="8">
        <v>0.8</v>
      </c>
      <c r="F24" s="7">
        <v>58</v>
      </c>
      <c r="G24" s="7">
        <v>68</v>
      </c>
      <c r="H24" s="7">
        <v>60</v>
      </c>
      <c r="I24" s="7">
        <v>1</v>
      </c>
      <c r="J24" s="7" t="s">
        <v>300</v>
      </c>
      <c r="K24" s="7" t="s">
        <v>51</v>
      </c>
      <c r="L24" s="7" t="s">
        <v>301</v>
      </c>
    </row>
    <row r="25" spans="1:12" ht="28.5" customHeight="1" x14ac:dyDescent="0.3">
      <c r="A25" s="7" t="s">
        <v>302</v>
      </c>
      <c r="B25" s="7" t="s">
        <v>274</v>
      </c>
      <c r="C25" s="7" t="s">
        <v>303</v>
      </c>
      <c r="D25" s="7" t="s">
        <v>219</v>
      </c>
      <c r="E25" s="8">
        <v>0.84</v>
      </c>
      <c r="F25" s="7">
        <v>66</v>
      </c>
      <c r="G25" s="7">
        <v>72</v>
      </c>
      <c r="H25" s="7">
        <v>65</v>
      </c>
      <c r="I25" s="7">
        <v>1</v>
      </c>
      <c r="J25" s="7" t="s">
        <v>304</v>
      </c>
      <c r="K25" s="7" t="s">
        <v>51</v>
      </c>
      <c r="L25" s="7" t="s">
        <v>233</v>
      </c>
    </row>
    <row r="26" spans="1:12" ht="28.5" customHeight="1" x14ac:dyDescent="0.3">
      <c r="A26" s="7" t="s">
        <v>305</v>
      </c>
      <c r="B26" s="7" t="s">
        <v>274</v>
      </c>
      <c r="C26" s="7" t="s">
        <v>306</v>
      </c>
      <c r="D26" s="7" t="s">
        <v>243</v>
      </c>
      <c r="E26" s="8">
        <v>0.77</v>
      </c>
      <c r="F26" s="7">
        <v>50</v>
      </c>
      <c r="G26" s="7">
        <v>55</v>
      </c>
      <c r="H26" s="7">
        <v>55</v>
      </c>
      <c r="I26" s="7">
        <v>3</v>
      </c>
      <c r="J26" s="7" t="s">
        <v>307</v>
      </c>
      <c r="K26" s="7" t="s">
        <v>51</v>
      </c>
      <c r="L26" s="7" t="s">
        <v>308</v>
      </c>
    </row>
    <row r="27" spans="1:12" ht="28.5" customHeight="1" x14ac:dyDescent="0.3">
      <c r="A27" s="7" t="s">
        <v>309</v>
      </c>
      <c r="B27" s="7" t="s">
        <v>274</v>
      </c>
      <c r="C27" s="7" t="s">
        <v>310</v>
      </c>
      <c r="D27" s="7" t="s">
        <v>243</v>
      </c>
      <c r="E27" s="8">
        <v>0.72</v>
      </c>
      <c r="F27" s="7">
        <v>48</v>
      </c>
      <c r="G27" s="7">
        <v>55</v>
      </c>
      <c r="H27" s="7">
        <v>52</v>
      </c>
      <c r="I27" s="7">
        <v>1</v>
      </c>
      <c r="J27" s="7" t="s">
        <v>311</v>
      </c>
      <c r="K27" s="7" t="s">
        <v>51</v>
      </c>
      <c r="L27" s="7" t="s">
        <v>233</v>
      </c>
    </row>
    <row r="28" spans="1:12" ht="28.5" customHeight="1" x14ac:dyDescent="0.3">
      <c r="A28" s="7" t="s">
        <v>312</v>
      </c>
      <c r="B28" s="7" t="s">
        <v>274</v>
      </c>
      <c r="C28" s="7" t="s">
        <v>313</v>
      </c>
      <c r="D28" s="7" t="s">
        <v>243</v>
      </c>
      <c r="E28" s="8">
        <v>0.8</v>
      </c>
      <c r="F28" s="7">
        <v>50</v>
      </c>
      <c r="G28" s="7">
        <v>55</v>
      </c>
      <c r="H28" s="7">
        <v>52</v>
      </c>
      <c r="I28" s="7">
        <v>1</v>
      </c>
      <c r="J28" s="7" t="s">
        <v>314</v>
      </c>
      <c r="K28" s="7" t="s">
        <v>51</v>
      </c>
      <c r="L28" s="7" t="s">
        <v>233</v>
      </c>
    </row>
    <row r="29" spans="1:12" ht="28.5" customHeight="1" x14ac:dyDescent="0.3">
      <c r="A29" s="7" t="s">
        <v>315</v>
      </c>
      <c r="B29" s="7" t="s">
        <v>316</v>
      </c>
      <c r="C29" s="7" t="s">
        <v>317</v>
      </c>
      <c r="D29" s="7" t="s">
        <v>219</v>
      </c>
      <c r="E29" s="8">
        <v>0.75</v>
      </c>
      <c r="F29" s="7">
        <v>64</v>
      </c>
      <c r="G29" s="7">
        <v>74</v>
      </c>
      <c r="H29" s="7">
        <v>68</v>
      </c>
      <c r="I29" s="7">
        <v>1</v>
      </c>
      <c r="J29" s="7" t="s">
        <v>318</v>
      </c>
      <c r="K29" s="7" t="s">
        <v>51</v>
      </c>
      <c r="L29" s="7" t="s">
        <v>319</v>
      </c>
    </row>
    <row r="30" spans="1:12" s="11" customFormat="1" ht="14.25" customHeight="1" x14ac:dyDescent="0.25">
      <c r="A30" s="11" t="s">
        <v>320</v>
      </c>
      <c r="B30" s="11" t="s">
        <v>321</v>
      </c>
      <c r="C30" s="11" t="s">
        <v>322</v>
      </c>
      <c r="D30" s="11" t="s">
        <v>243</v>
      </c>
      <c r="E30" s="12">
        <v>0.82</v>
      </c>
      <c r="F30" s="11">
        <v>54</v>
      </c>
      <c r="G30" s="11">
        <v>64</v>
      </c>
      <c r="H30" s="11">
        <v>52</v>
      </c>
      <c r="J30" s="11" t="s">
        <v>323</v>
      </c>
      <c r="K30" s="11" t="s">
        <v>51</v>
      </c>
      <c r="L30" s="11" t="s">
        <v>324</v>
      </c>
    </row>
    <row r="31" spans="1:12" s="11" customFormat="1" ht="14.25" customHeight="1" x14ac:dyDescent="0.25">
      <c r="A31" s="11" t="s">
        <v>325</v>
      </c>
      <c r="B31" s="11" t="s">
        <v>321</v>
      </c>
      <c r="C31" s="11" t="s">
        <v>326</v>
      </c>
      <c r="D31" s="11" t="s">
        <v>219</v>
      </c>
      <c r="E31" s="12">
        <v>0.77</v>
      </c>
      <c r="F31" s="11">
        <v>64</v>
      </c>
      <c r="G31" s="11">
        <v>79</v>
      </c>
      <c r="H31" s="11">
        <v>68</v>
      </c>
      <c r="J31" s="11" t="s">
        <v>323</v>
      </c>
      <c r="K31" s="11" t="s">
        <v>51</v>
      </c>
      <c r="L31" s="11" t="s">
        <v>327</v>
      </c>
    </row>
    <row r="32" spans="1:12" s="11" customFormat="1" ht="14.25" customHeight="1" x14ac:dyDescent="0.25">
      <c r="A32" s="11" t="s">
        <v>328</v>
      </c>
      <c r="B32" s="11" t="s">
        <v>321</v>
      </c>
      <c r="C32" s="11" t="s">
        <v>329</v>
      </c>
      <c r="D32" s="11" t="s">
        <v>219</v>
      </c>
      <c r="E32" s="12">
        <v>0.8</v>
      </c>
      <c r="F32" s="11">
        <v>64</v>
      </c>
      <c r="G32" s="11">
        <v>79</v>
      </c>
      <c r="H32" s="11">
        <v>68</v>
      </c>
      <c r="J32" s="11" t="s">
        <v>323</v>
      </c>
      <c r="K32" s="11" t="s">
        <v>51</v>
      </c>
      <c r="L32" s="11" t="s">
        <v>330</v>
      </c>
    </row>
    <row r="33" spans="1:12" s="11" customFormat="1" ht="14.25" customHeight="1" x14ac:dyDescent="0.25">
      <c r="A33" s="11" t="s">
        <v>331</v>
      </c>
      <c r="B33" s="11" t="s">
        <v>321</v>
      </c>
      <c r="C33" s="11" t="s">
        <v>332</v>
      </c>
      <c r="D33" s="11" t="s">
        <v>219</v>
      </c>
      <c r="E33" s="12">
        <v>0.82</v>
      </c>
      <c r="F33" s="11">
        <v>64</v>
      </c>
      <c r="G33" s="11">
        <v>79</v>
      </c>
      <c r="H33" s="11">
        <v>60</v>
      </c>
      <c r="J33" s="11" t="s">
        <v>323</v>
      </c>
      <c r="K33" s="11" t="s">
        <v>51</v>
      </c>
      <c r="L33" s="11" t="s">
        <v>333</v>
      </c>
    </row>
  </sheetData>
  <autoFilter ref="A1:L1" xr:uid="{00000000-0009-0000-0000-000003000000}"/>
  <dataValidations count="2">
    <dataValidation type="list" sqref="D2:D29" xr:uid="{00000000-0002-0000-0300-000000000000}">
      <formula1>"Ale,Lager"</formula1>
    </dataValidation>
    <dataValidation type="list" allowBlank="1" sqref="K2:K33" xr:uid="{00000000-0002-0000-0300-000002000000}">
      <formula1>"Check,OK,Confirmed"</formula1>
    </dataValidation>
  </dataValidations>
  <pageMargins left="0.7" right="0.7" top="0.75" bottom="0.75" header="0.3" footer="0.3"/>
  <pageSetup orientation="portrait" useFirstPageNumber="1" horizontalDpi="4294967295" verticalDpi="4294967295"/>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6"/>
  <sheetViews>
    <sheetView zoomScaleNormal="100" workbookViewId="0">
      <pane ySplit="1" topLeftCell="A2" activePane="bottomLeft" state="frozen"/>
      <selection pane="bottomLeft"/>
    </sheetView>
  </sheetViews>
  <sheetFormatPr defaultRowHeight="14.4" customHeight="1" x14ac:dyDescent="0.3"/>
  <cols>
    <col min="1" max="1" width="24" customWidth="1"/>
    <col min="2" max="2" width="10" customWidth="1"/>
    <col min="3" max="3" width="11" customWidth="1"/>
    <col min="4" max="4" width="14" customWidth="1"/>
    <col min="5" max="5" width="44" customWidth="1"/>
  </cols>
  <sheetData>
    <row r="1" spans="1:5" s="6" customFormat="1" ht="31.95" customHeight="1" x14ac:dyDescent="0.3">
      <c r="A1" s="6" t="s">
        <v>334</v>
      </c>
      <c r="B1" s="6" t="s">
        <v>35</v>
      </c>
      <c r="C1" s="6" t="s">
        <v>335</v>
      </c>
      <c r="D1" s="6" t="s">
        <v>336</v>
      </c>
      <c r="E1" s="6" t="s">
        <v>41</v>
      </c>
    </row>
    <row r="2" spans="1:5" ht="27.6" customHeight="1" x14ac:dyDescent="0.3">
      <c r="A2" s="7" t="s">
        <v>337</v>
      </c>
      <c r="B2" s="9">
        <v>12.99</v>
      </c>
      <c r="C2" s="7">
        <v>200</v>
      </c>
      <c r="D2" s="13">
        <f>IF(OR(B2="",C2=""),"",B2/C2)</f>
        <v>6.4950000000000008E-2</v>
      </c>
      <c r="E2" s="7" t="s">
        <v>338</v>
      </c>
    </row>
    <row r="3" spans="1:5" ht="27.6" customHeight="1" x14ac:dyDescent="0.3">
      <c r="A3" s="7" t="s">
        <v>339</v>
      </c>
      <c r="B3" s="9">
        <v>10.99</v>
      </c>
      <c r="C3" s="7">
        <v>100</v>
      </c>
      <c r="D3" s="13">
        <f>IF(OR(B3="",C3=""),"",B3/C3)</f>
        <v>0.1099</v>
      </c>
      <c r="E3" s="7" t="s">
        <v>338</v>
      </c>
    </row>
    <row r="4" spans="1:5" ht="27.6" customHeight="1" x14ac:dyDescent="0.3">
      <c r="A4" s="7" t="s">
        <v>340</v>
      </c>
      <c r="B4" s="9">
        <v>14.95</v>
      </c>
      <c r="C4" s="7">
        <v>200</v>
      </c>
      <c r="D4" s="13">
        <f>IF(OR(B4="",C4=""),"",B4/C4)</f>
        <v>7.4749999999999997E-2</v>
      </c>
      <c r="E4" s="7" t="s">
        <v>338</v>
      </c>
    </row>
    <row r="5" spans="1:5" ht="27.6" customHeight="1" x14ac:dyDescent="0.3">
      <c r="A5" s="7" t="s">
        <v>341</v>
      </c>
      <c r="B5" s="9">
        <v>12.99</v>
      </c>
      <c r="C5" s="7">
        <v>200</v>
      </c>
      <c r="D5" s="13">
        <f>IF(OR(B5="",C5=""),"",B5/C5)</f>
        <v>6.4950000000000008E-2</v>
      </c>
      <c r="E5" s="7" t="s">
        <v>338</v>
      </c>
    </row>
    <row r="6" spans="1:5" ht="27.6" customHeight="1" x14ac:dyDescent="0.3">
      <c r="A6" s="7" t="s">
        <v>342</v>
      </c>
      <c r="B6" s="9">
        <v>15</v>
      </c>
      <c r="C6" s="7">
        <v>200</v>
      </c>
      <c r="D6" s="13">
        <f>IF(OR(B6="",C6=""),"",B6/C6)</f>
        <v>7.4999999999999997E-2</v>
      </c>
      <c r="E6" s="7" t="s">
        <v>338</v>
      </c>
    </row>
  </sheetData>
  <autoFilter ref="A1:E1" xr:uid="{00000000-0009-0000-0000-000004000000}"/>
  <pageMargins left="0.7" right="0.7" top="0.75" bottom="0.75" header="0.3" footer="0.3"/>
  <pageSetup orientation="portrait" useFirstPageNumber="1" horizontalDpi="4294967295" verticalDpi="4294967295"/>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45"/>
  <sheetViews>
    <sheetView zoomScaleNormal="100" workbookViewId="0">
      <pane ySplit="1" topLeftCell="A31" activePane="bottomLeft" state="frozen"/>
      <selection pane="bottomLeft" activeCell="F45" sqref="F45"/>
    </sheetView>
  </sheetViews>
  <sheetFormatPr defaultRowHeight="14.4" customHeight="1" x14ac:dyDescent="0.3"/>
  <cols>
    <col min="1" max="1" width="8" customWidth="1"/>
    <col min="2" max="2" width="26" customWidth="1"/>
    <col min="3" max="3" width="30" customWidth="1"/>
    <col min="4" max="4" width="60" customWidth="1"/>
    <col min="5" max="5" width="36" customWidth="1"/>
    <col min="6" max="6" width="30" customWidth="1"/>
  </cols>
  <sheetData>
    <row r="1" spans="1:6" s="6" customFormat="1" ht="31.95" customHeight="1" x14ac:dyDescent="0.3">
      <c r="A1" s="6" t="s">
        <v>343</v>
      </c>
      <c r="B1" s="6" t="s">
        <v>31</v>
      </c>
      <c r="C1" s="6" t="s">
        <v>344</v>
      </c>
      <c r="D1" s="6" t="s">
        <v>345</v>
      </c>
      <c r="E1" s="6" t="s">
        <v>346</v>
      </c>
      <c r="F1" s="6" t="s">
        <v>347</v>
      </c>
    </row>
    <row r="2" spans="1:6" ht="27.6" customHeight="1" x14ac:dyDescent="0.3">
      <c r="A2" s="7" t="s">
        <v>348</v>
      </c>
      <c r="B2" s="7" t="s">
        <v>50</v>
      </c>
      <c r="C2" s="7" t="s">
        <v>349</v>
      </c>
      <c r="D2" s="7" t="s">
        <v>350</v>
      </c>
      <c r="E2" s="7" t="s">
        <v>351</v>
      </c>
      <c r="F2" s="7" t="s">
        <v>352</v>
      </c>
    </row>
    <row r="3" spans="1:6" ht="27.6" customHeight="1" x14ac:dyDescent="0.3">
      <c r="A3" s="7" t="s">
        <v>348</v>
      </c>
      <c r="B3" s="7" t="s">
        <v>53</v>
      </c>
      <c r="C3" s="7" t="s">
        <v>349</v>
      </c>
      <c r="D3" s="7" t="s">
        <v>353</v>
      </c>
      <c r="E3" s="7" t="s">
        <v>351</v>
      </c>
      <c r="F3" s="7" t="s">
        <v>354</v>
      </c>
    </row>
    <row r="4" spans="1:6" ht="27.6" customHeight="1" x14ac:dyDescent="0.3">
      <c r="A4" s="7" t="s">
        <v>348</v>
      </c>
      <c r="B4" s="7" t="s">
        <v>55</v>
      </c>
      <c r="C4" s="7" t="s">
        <v>349</v>
      </c>
      <c r="D4" s="7" t="s">
        <v>355</v>
      </c>
      <c r="E4" s="7" t="s">
        <v>351</v>
      </c>
      <c r="F4" s="7" t="s">
        <v>356</v>
      </c>
    </row>
    <row r="5" spans="1:6" ht="27.6" customHeight="1" x14ac:dyDescent="0.3">
      <c r="A5" s="7" t="s">
        <v>348</v>
      </c>
      <c r="B5" s="7" t="s">
        <v>59</v>
      </c>
      <c r="C5" s="7" t="s">
        <v>357</v>
      </c>
      <c r="D5" s="7" t="s">
        <v>358</v>
      </c>
      <c r="E5" s="7" t="s">
        <v>359</v>
      </c>
      <c r="F5" s="7" t="s">
        <v>360</v>
      </c>
    </row>
    <row r="6" spans="1:6" ht="27.6" customHeight="1" x14ac:dyDescent="0.3">
      <c r="A6" s="7" t="s">
        <v>348</v>
      </c>
      <c r="B6" s="7" t="s">
        <v>76</v>
      </c>
      <c r="C6" s="7" t="s">
        <v>357</v>
      </c>
      <c r="D6" s="7" t="s">
        <v>361</v>
      </c>
      <c r="E6" s="7" t="s">
        <v>362</v>
      </c>
      <c r="F6" s="7" t="s">
        <v>363</v>
      </c>
    </row>
    <row r="7" spans="1:6" ht="27.6" customHeight="1" x14ac:dyDescent="0.3">
      <c r="A7" s="7" t="s">
        <v>348</v>
      </c>
      <c r="B7" s="7" t="s">
        <v>76</v>
      </c>
      <c r="C7" s="7" t="s">
        <v>349</v>
      </c>
      <c r="D7" s="7" t="s">
        <v>364</v>
      </c>
      <c r="E7" s="7" t="s">
        <v>351</v>
      </c>
      <c r="F7" s="7" t="s">
        <v>365</v>
      </c>
    </row>
    <row r="8" spans="1:6" ht="41.4" customHeight="1" x14ac:dyDescent="0.3">
      <c r="A8" s="7" t="s">
        <v>348</v>
      </c>
      <c r="B8" s="7" t="s">
        <v>90</v>
      </c>
      <c r="C8" s="7" t="s">
        <v>366</v>
      </c>
      <c r="D8" s="7" t="s">
        <v>367</v>
      </c>
      <c r="E8" s="7" t="s">
        <v>368</v>
      </c>
      <c r="F8" s="7" t="s">
        <v>369</v>
      </c>
    </row>
    <row r="9" spans="1:6" ht="41.4" customHeight="1" x14ac:dyDescent="0.3">
      <c r="A9" s="7" t="s">
        <v>348</v>
      </c>
      <c r="B9" s="7" t="s">
        <v>92</v>
      </c>
      <c r="C9" s="7" t="s">
        <v>357</v>
      </c>
      <c r="D9" s="7" t="s">
        <v>370</v>
      </c>
      <c r="E9" s="7" t="s">
        <v>371</v>
      </c>
      <c r="F9" s="7" t="s">
        <v>372</v>
      </c>
    </row>
    <row r="10" spans="1:6" ht="27.6" customHeight="1" x14ac:dyDescent="0.3">
      <c r="A10" s="7" t="s">
        <v>348</v>
      </c>
      <c r="B10" s="7" t="s">
        <v>92</v>
      </c>
      <c r="C10" s="7" t="s">
        <v>373</v>
      </c>
      <c r="D10" s="7" t="s">
        <v>374</v>
      </c>
      <c r="E10" s="7" t="s">
        <v>375</v>
      </c>
      <c r="F10" s="7" t="s">
        <v>376</v>
      </c>
    </row>
    <row r="11" spans="1:6" ht="27.6" customHeight="1" x14ac:dyDescent="0.3">
      <c r="A11" s="7" t="s">
        <v>348</v>
      </c>
      <c r="B11" s="7" t="s">
        <v>92</v>
      </c>
      <c r="C11" s="7" t="s">
        <v>349</v>
      </c>
      <c r="D11" s="7" t="s">
        <v>377</v>
      </c>
      <c r="E11" s="7" t="s">
        <v>351</v>
      </c>
      <c r="F11" s="7" t="s">
        <v>378</v>
      </c>
    </row>
    <row r="12" spans="1:6" ht="27.6" customHeight="1" x14ac:dyDescent="0.3">
      <c r="A12" s="7" t="s">
        <v>348</v>
      </c>
      <c r="B12" s="7" t="s">
        <v>97</v>
      </c>
      <c r="C12" s="7" t="s">
        <v>349</v>
      </c>
      <c r="D12" s="7" t="s">
        <v>379</v>
      </c>
      <c r="E12" s="7" t="s">
        <v>351</v>
      </c>
      <c r="F12" s="7" t="s">
        <v>378</v>
      </c>
    </row>
    <row r="13" spans="1:6" ht="55.2" customHeight="1" x14ac:dyDescent="0.3">
      <c r="A13" s="7" t="s">
        <v>348</v>
      </c>
      <c r="B13" s="7" t="s">
        <v>99</v>
      </c>
      <c r="C13" s="7" t="s">
        <v>357</v>
      </c>
      <c r="D13" s="7" t="s">
        <v>380</v>
      </c>
      <c r="E13" s="7" t="s">
        <v>381</v>
      </c>
      <c r="F13" s="7" t="s">
        <v>382</v>
      </c>
    </row>
    <row r="14" spans="1:6" ht="55.2" customHeight="1" x14ac:dyDescent="0.3">
      <c r="A14" s="7" t="s">
        <v>348</v>
      </c>
      <c r="B14" s="7" t="s">
        <v>99</v>
      </c>
      <c r="C14" s="7" t="s">
        <v>383</v>
      </c>
      <c r="D14" s="7" t="s">
        <v>384</v>
      </c>
      <c r="E14" s="7" t="s">
        <v>385</v>
      </c>
      <c r="F14" s="7" t="s">
        <v>382</v>
      </c>
    </row>
    <row r="15" spans="1:6" ht="27.6" customHeight="1" x14ac:dyDescent="0.3">
      <c r="A15" s="7" t="s">
        <v>348</v>
      </c>
      <c r="B15" s="7" t="s">
        <v>106</v>
      </c>
      <c r="C15" s="7" t="s">
        <v>349</v>
      </c>
      <c r="D15" s="7" t="s">
        <v>386</v>
      </c>
      <c r="E15" s="7" t="s">
        <v>351</v>
      </c>
      <c r="F15" s="7" t="s">
        <v>387</v>
      </c>
    </row>
    <row r="16" spans="1:6" ht="27.6" customHeight="1" x14ac:dyDescent="0.3">
      <c r="A16" s="7" t="s">
        <v>348</v>
      </c>
      <c r="B16" s="7" t="s">
        <v>112</v>
      </c>
      <c r="C16" s="7" t="s">
        <v>373</v>
      </c>
      <c r="D16" s="7" t="s">
        <v>388</v>
      </c>
      <c r="E16" s="7" t="s">
        <v>389</v>
      </c>
      <c r="F16" s="7" t="s">
        <v>390</v>
      </c>
    </row>
    <row r="17" spans="1:6" ht="27.6" customHeight="1" x14ac:dyDescent="0.3">
      <c r="A17" s="7" t="s">
        <v>348</v>
      </c>
      <c r="B17" s="7" t="s">
        <v>391</v>
      </c>
      <c r="C17" s="7" t="s">
        <v>349</v>
      </c>
      <c r="D17" s="7" t="s">
        <v>392</v>
      </c>
      <c r="E17" s="7" t="s">
        <v>351</v>
      </c>
      <c r="F17" s="7" t="s">
        <v>393</v>
      </c>
    </row>
    <row r="18" spans="1:6" ht="27.6" customHeight="1" x14ac:dyDescent="0.3">
      <c r="A18" s="7" t="s">
        <v>394</v>
      </c>
      <c r="B18" s="7" t="s">
        <v>140</v>
      </c>
      <c r="C18" s="7" t="s">
        <v>395</v>
      </c>
      <c r="D18" s="7" t="s">
        <v>396</v>
      </c>
      <c r="E18" s="7" t="s">
        <v>397</v>
      </c>
      <c r="F18" s="7" t="s">
        <v>398</v>
      </c>
    </row>
    <row r="19" spans="1:6" ht="55.2" customHeight="1" x14ac:dyDescent="0.3">
      <c r="A19" s="7" t="s">
        <v>394</v>
      </c>
      <c r="B19" s="7" t="s">
        <v>144</v>
      </c>
      <c r="C19" s="7" t="s">
        <v>395</v>
      </c>
      <c r="D19" s="7" t="s">
        <v>399</v>
      </c>
      <c r="E19" s="7" t="s">
        <v>400</v>
      </c>
      <c r="F19" s="7" t="s">
        <v>401</v>
      </c>
    </row>
    <row r="20" spans="1:6" ht="41.4" customHeight="1" x14ac:dyDescent="0.3">
      <c r="A20" s="7" t="s">
        <v>394</v>
      </c>
      <c r="B20" s="7" t="s">
        <v>158</v>
      </c>
      <c r="C20" s="7" t="s">
        <v>395</v>
      </c>
      <c r="D20" s="7" t="s">
        <v>402</v>
      </c>
      <c r="E20" s="7" t="s">
        <v>403</v>
      </c>
      <c r="F20" s="7" t="s">
        <v>404</v>
      </c>
    </row>
    <row r="21" spans="1:6" ht="55.2" customHeight="1" x14ac:dyDescent="0.3">
      <c r="A21" s="7" t="s">
        <v>394</v>
      </c>
      <c r="B21" s="7" t="s">
        <v>162</v>
      </c>
      <c r="C21" s="7" t="s">
        <v>395</v>
      </c>
      <c r="D21" s="7" t="s">
        <v>405</v>
      </c>
      <c r="E21" s="7" t="s">
        <v>406</v>
      </c>
      <c r="F21" s="7" t="s">
        <v>407</v>
      </c>
    </row>
    <row r="22" spans="1:6" ht="27.6" customHeight="1" x14ac:dyDescent="0.3">
      <c r="A22" s="7" t="s">
        <v>394</v>
      </c>
      <c r="B22" s="7" t="s">
        <v>164</v>
      </c>
      <c r="C22" s="7" t="s">
        <v>395</v>
      </c>
      <c r="D22" s="7" t="s">
        <v>408</v>
      </c>
      <c r="E22" s="7" t="s">
        <v>409</v>
      </c>
      <c r="F22" s="7" t="s">
        <v>410</v>
      </c>
    </row>
    <row r="23" spans="1:6" ht="27.6" customHeight="1" x14ac:dyDescent="0.3">
      <c r="A23" s="7" t="s">
        <v>394</v>
      </c>
      <c r="B23" s="7" t="s">
        <v>167</v>
      </c>
      <c r="C23" s="7" t="s">
        <v>395</v>
      </c>
      <c r="D23" s="7" t="s">
        <v>411</v>
      </c>
      <c r="E23" s="7" t="s">
        <v>412</v>
      </c>
      <c r="F23" s="7" t="s">
        <v>413</v>
      </c>
    </row>
    <row r="24" spans="1:6" ht="41.4" customHeight="1" x14ac:dyDescent="0.3">
      <c r="A24" s="7" t="s">
        <v>394</v>
      </c>
      <c r="B24" s="7" t="s">
        <v>169</v>
      </c>
      <c r="C24" s="7" t="s">
        <v>395</v>
      </c>
      <c r="D24" s="7" t="s">
        <v>414</v>
      </c>
      <c r="E24" s="7" t="s">
        <v>415</v>
      </c>
      <c r="F24" s="7" t="s">
        <v>416</v>
      </c>
    </row>
    <row r="25" spans="1:6" ht="41.4" customHeight="1" x14ac:dyDescent="0.3">
      <c r="A25" s="7" t="s">
        <v>394</v>
      </c>
      <c r="B25" s="7" t="s">
        <v>169</v>
      </c>
      <c r="C25" s="7" t="s">
        <v>366</v>
      </c>
      <c r="D25" s="7" t="s">
        <v>417</v>
      </c>
      <c r="E25" s="7" t="s">
        <v>368</v>
      </c>
      <c r="F25" s="7" t="s">
        <v>418</v>
      </c>
    </row>
    <row r="26" spans="1:6" ht="27.6" customHeight="1" x14ac:dyDescent="0.3">
      <c r="A26" s="7" t="s">
        <v>394</v>
      </c>
      <c r="B26" s="7" t="s">
        <v>179</v>
      </c>
      <c r="C26" s="7" t="s">
        <v>395</v>
      </c>
      <c r="D26" s="7" t="s">
        <v>419</v>
      </c>
      <c r="E26" s="7" t="s">
        <v>420</v>
      </c>
      <c r="F26" s="7" t="s">
        <v>421</v>
      </c>
    </row>
    <row r="27" spans="1:6" ht="27.6" customHeight="1" x14ac:dyDescent="0.3">
      <c r="A27" s="7" t="s">
        <v>394</v>
      </c>
      <c r="B27" s="7" t="s">
        <v>181</v>
      </c>
      <c r="C27" s="7" t="s">
        <v>395</v>
      </c>
      <c r="D27" s="7" t="s">
        <v>422</v>
      </c>
      <c r="E27" s="7" t="s">
        <v>423</v>
      </c>
      <c r="F27" s="7" t="s">
        <v>424</v>
      </c>
    </row>
    <row r="28" spans="1:6" ht="27.6" customHeight="1" x14ac:dyDescent="0.3">
      <c r="A28" s="7" t="s">
        <v>394</v>
      </c>
      <c r="B28" s="7" t="s">
        <v>181</v>
      </c>
      <c r="C28" s="7" t="s">
        <v>349</v>
      </c>
      <c r="D28" s="7" t="s">
        <v>425</v>
      </c>
      <c r="E28" s="7" t="s">
        <v>351</v>
      </c>
      <c r="F28" s="7" t="s">
        <v>378</v>
      </c>
    </row>
    <row r="29" spans="1:6" ht="27.6" customHeight="1" x14ac:dyDescent="0.3">
      <c r="A29" s="7" t="s">
        <v>394</v>
      </c>
      <c r="B29" s="7" t="s">
        <v>181</v>
      </c>
      <c r="C29" s="7" t="s">
        <v>383</v>
      </c>
      <c r="D29" s="7" t="s">
        <v>426</v>
      </c>
      <c r="E29" s="7" t="s">
        <v>385</v>
      </c>
      <c r="F29" s="7" t="s">
        <v>427</v>
      </c>
    </row>
    <row r="30" spans="1:6" ht="41.4" customHeight="1" x14ac:dyDescent="0.3">
      <c r="A30" s="7" t="s">
        <v>394</v>
      </c>
      <c r="B30" s="7" t="s">
        <v>184</v>
      </c>
      <c r="C30" s="7" t="s">
        <v>395</v>
      </c>
      <c r="D30" s="7" t="s">
        <v>428</v>
      </c>
      <c r="E30" s="7" t="s">
        <v>429</v>
      </c>
      <c r="F30" s="7" t="s">
        <v>430</v>
      </c>
    </row>
    <row r="31" spans="1:6" ht="41.4" customHeight="1" x14ac:dyDescent="0.3">
      <c r="A31" s="7" t="s">
        <v>394</v>
      </c>
      <c r="B31" s="7" t="s">
        <v>188</v>
      </c>
      <c r="C31" s="7" t="s">
        <v>395</v>
      </c>
      <c r="D31" s="7" t="s">
        <v>431</v>
      </c>
      <c r="E31" s="7" t="s">
        <v>432</v>
      </c>
      <c r="F31" s="7" t="s">
        <v>433</v>
      </c>
    </row>
    <row r="32" spans="1:6" ht="27.6" customHeight="1" x14ac:dyDescent="0.3">
      <c r="A32" s="7" t="s">
        <v>394</v>
      </c>
      <c r="B32" s="7" t="s">
        <v>195</v>
      </c>
      <c r="C32" s="7" t="s">
        <v>395</v>
      </c>
      <c r="D32" s="7" t="s">
        <v>434</v>
      </c>
      <c r="E32" s="7" t="s">
        <v>435</v>
      </c>
      <c r="F32" s="7" t="s">
        <v>436</v>
      </c>
    </row>
    <row r="33" spans="1:6" ht="27.6" customHeight="1" x14ac:dyDescent="0.3">
      <c r="A33" s="7" t="s">
        <v>394</v>
      </c>
      <c r="B33" s="7" t="s">
        <v>202</v>
      </c>
      <c r="C33" s="7" t="s">
        <v>395</v>
      </c>
      <c r="D33" s="7" t="s">
        <v>437</v>
      </c>
      <c r="E33" s="7" t="s">
        <v>438</v>
      </c>
      <c r="F33" s="7" t="s">
        <v>439</v>
      </c>
    </row>
    <row r="34" spans="1:6" ht="27.6" customHeight="1" x14ac:dyDescent="0.3">
      <c r="A34" s="7" t="s">
        <v>394</v>
      </c>
      <c r="B34" s="7" t="s">
        <v>202</v>
      </c>
      <c r="C34" s="7" t="s">
        <v>349</v>
      </c>
      <c r="D34" s="7" t="s">
        <v>440</v>
      </c>
      <c r="E34" s="7" t="s">
        <v>351</v>
      </c>
      <c r="F34" s="7" t="s">
        <v>378</v>
      </c>
    </row>
    <row r="35" spans="1:6" ht="27.6" customHeight="1" x14ac:dyDescent="0.3">
      <c r="A35" s="7" t="s">
        <v>441</v>
      </c>
      <c r="B35" s="7" t="s">
        <v>442</v>
      </c>
      <c r="C35" s="7" t="s">
        <v>443</v>
      </c>
      <c r="D35" s="7" t="s">
        <v>444</v>
      </c>
      <c r="E35" s="7" t="s">
        <v>445</v>
      </c>
      <c r="F35" s="7" t="s">
        <v>378</v>
      </c>
    </row>
    <row r="36" spans="1:6" ht="27.6" customHeight="1" x14ac:dyDescent="0.3">
      <c r="A36" s="7" t="s">
        <v>441</v>
      </c>
      <c r="B36" s="7" t="s">
        <v>446</v>
      </c>
      <c r="C36" s="7" t="s">
        <v>447</v>
      </c>
      <c r="D36" s="7" t="s">
        <v>448</v>
      </c>
      <c r="E36" s="7" t="s">
        <v>449</v>
      </c>
      <c r="F36" s="7" t="s">
        <v>450</v>
      </c>
    </row>
    <row r="37" spans="1:6" ht="27.6" customHeight="1" x14ac:dyDescent="0.3">
      <c r="A37" s="7" t="s">
        <v>441</v>
      </c>
      <c r="B37" s="7" t="s">
        <v>446</v>
      </c>
      <c r="C37" s="7" t="s">
        <v>451</v>
      </c>
      <c r="D37" s="7" t="s">
        <v>452</v>
      </c>
      <c r="E37" s="7" t="s">
        <v>453</v>
      </c>
      <c r="F37" s="7" t="s">
        <v>450</v>
      </c>
    </row>
    <row r="38" spans="1:6" ht="27.6" customHeight="1" x14ac:dyDescent="0.3">
      <c r="A38" s="7" t="s">
        <v>441</v>
      </c>
      <c r="B38" s="7" t="s">
        <v>257</v>
      </c>
      <c r="C38" s="7" t="s">
        <v>443</v>
      </c>
      <c r="D38" s="7" t="s">
        <v>444</v>
      </c>
      <c r="E38" s="7" t="s">
        <v>445</v>
      </c>
      <c r="F38" s="7" t="s">
        <v>378</v>
      </c>
    </row>
    <row r="39" spans="1:6" x14ac:dyDescent="0.3">
      <c r="A39" s="7" t="s">
        <v>441</v>
      </c>
      <c r="B39" s="7" t="s">
        <v>257</v>
      </c>
      <c r="C39" s="7" t="s">
        <v>349</v>
      </c>
      <c r="D39" s="7" t="s">
        <v>454</v>
      </c>
      <c r="E39" s="7" t="s">
        <v>455</v>
      </c>
      <c r="F39" s="7" t="s">
        <v>378</v>
      </c>
    </row>
    <row r="40" spans="1:6" ht="27.6" customHeight="1" x14ac:dyDescent="0.3">
      <c r="A40" s="7" t="s">
        <v>441</v>
      </c>
      <c r="B40" s="7" t="s">
        <v>254</v>
      </c>
      <c r="C40" s="7" t="s">
        <v>447</v>
      </c>
      <c r="D40" s="7" t="s">
        <v>456</v>
      </c>
      <c r="E40" s="7" t="s">
        <v>449</v>
      </c>
      <c r="F40" s="7" t="s">
        <v>457</v>
      </c>
    </row>
    <row r="41" spans="1:6" ht="27.6" customHeight="1" x14ac:dyDescent="0.3">
      <c r="A41" s="7" t="s">
        <v>441</v>
      </c>
      <c r="B41" s="7" t="s">
        <v>458</v>
      </c>
      <c r="C41" s="7" t="s">
        <v>459</v>
      </c>
      <c r="D41" s="7" t="s">
        <v>460</v>
      </c>
      <c r="E41" s="7" t="s">
        <v>461</v>
      </c>
      <c r="F41" s="7" t="s">
        <v>457</v>
      </c>
    </row>
    <row r="42" spans="1:6" x14ac:dyDescent="0.3">
      <c r="A42" s="7" t="s">
        <v>441</v>
      </c>
      <c r="B42" s="7" t="s">
        <v>273</v>
      </c>
      <c r="C42" s="7" t="s">
        <v>349</v>
      </c>
      <c r="D42" s="7" t="s">
        <v>462</v>
      </c>
      <c r="E42" s="7" t="s">
        <v>455</v>
      </c>
      <c r="F42" s="7" t="s">
        <v>378</v>
      </c>
    </row>
    <row r="43" spans="1:6" ht="28.5" customHeight="1" x14ac:dyDescent="0.3">
      <c r="A43" s="7" t="s">
        <v>441</v>
      </c>
      <c r="B43" s="7" t="s">
        <v>289</v>
      </c>
      <c r="C43" s="7" t="s">
        <v>447</v>
      </c>
      <c r="D43" s="7" t="s">
        <v>463</v>
      </c>
      <c r="E43" s="7" t="s">
        <v>449</v>
      </c>
      <c r="F43" s="7" t="s">
        <v>464</v>
      </c>
    </row>
    <row r="44" spans="1:6" ht="28.5" customHeight="1" x14ac:dyDescent="0.3">
      <c r="A44" s="7" t="s">
        <v>441</v>
      </c>
      <c r="B44" s="7" t="s">
        <v>299</v>
      </c>
      <c r="C44" s="7" t="s">
        <v>447</v>
      </c>
      <c r="D44" s="7" t="s">
        <v>465</v>
      </c>
      <c r="E44" s="7" t="s">
        <v>449</v>
      </c>
      <c r="F44" s="7" t="s">
        <v>466</v>
      </c>
    </row>
    <row r="45" spans="1:6" ht="27.6" customHeight="1" x14ac:dyDescent="0.3">
      <c r="A45" s="7" t="s">
        <v>441</v>
      </c>
      <c r="B45" s="7" t="s">
        <v>305</v>
      </c>
      <c r="C45" s="7" t="s">
        <v>349</v>
      </c>
      <c r="D45" s="7" t="s">
        <v>467</v>
      </c>
      <c r="E45" s="7" t="s">
        <v>455</v>
      </c>
      <c r="F45" s="7" t="s">
        <v>378</v>
      </c>
    </row>
  </sheetData>
  <autoFilter ref="A1:F1" xr:uid="{00000000-0009-0000-0000-000005000000}"/>
  <pageMargins left="0.7" right="0.7" top="0.75" bottom="0.75" header="0.3" footer="0.3"/>
  <pageSetup orientation="portrait" useFirstPageNumber="1" horizontalDpi="4294967295" verticalDpi="4294967295"/>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Read Me</vt:lpstr>
      <vt:lpstr>Malts</vt:lpstr>
      <vt:lpstr>Hops</vt:lpstr>
      <vt:lpstr>Yeasts</vt:lpstr>
      <vt:lpstr>Yeast Packs</vt:lpstr>
      <vt:lpstr>Review</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2026-09-23T12:52:39Z</dcterms:created>
  <dcterms:modified xsi:type="dcterms:W3CDTF">2026-10-03T03:14:50Z</dcterms:modified>
  <cp:category/>
  <cp:contentStatus/>
</cp:coreProperties>
</file>