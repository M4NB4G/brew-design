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199dd3df9fd912/Brewing Stuff/Recipes/IPA/American and West Coast/"/>
    </mc:Choice>
  </mc:AlternateContent>
  <xr:revisionPtr revIDLastSave="0" documentId="8_{8A595232-3DA5-E248-95F6-B68FCF553C47}" xr6:coauthVersionLast="47" xr6:coauthVersionMax="47" xr10:uidLastSave="{00000000-0000-0000-0000-000000000000}"/>
  <bookViews>
    <workbookView xWindow="-108" yWindow="-108" windowWidth="23256" windowHeight="12456" activeTab="4" xr2:uid="{E32C68B3-2CFB-4334-9976-B56E1B67E26D}"/>
  </bookViews>
  <sheets>
    <sheet name="Costs Ref" sheetId="2" r:id="rId1"/>
    <sheet name="Yeast Pitch Rate Ref " sheetId="5" r:id="rId2"/>
    <sheet name="Grist and Pitch Calc's" sheetId="1" r:id="rId3"/>
    <sheet name="Starter Vol Solver" sheetId="6" r:id="rId4"/>
    <sheet name="Hops" sheetId="3" r:id="rId5"/>
    <sheet name="Calc'd Beer stats" sheetId="4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3" l="1"/>
  <c r="J8" i="3"/>
  <c r="J7" i="3"/>
  <c r="J6" i="3"/>
  <c r="J5" i="3"/>
  <c r="J4" i="3"/>
  <c r="J3" i="3"/>
  <c r="I4" i="1"/>
  <c r="I2" i="1"/>
  <c r="M6" i="1"/>
  <c r="F7" i="3"/>
  <c r="H12" i="3"/>
  <c r="B8" i="4"/>
  <c r="B4" i="1"/>
  <c r="E13" i="3"/>
  <c r="F13" i="3"/>
  <c r="B50" i="2"/>
  <c r="D50" i="2"/>
  <c r="H4" i="3"/>
  <c r="D26" i="2"/>
  <c r="E3" i="3"/>
  <c r="K3" i="3"/>
  <c r="B20" i="4"/>
  <c r="D11" i="1"/>
  <c r="E11" i="1"/>
  <c r="F11" i="1"/>
  <c r="G11" i="1"/>
  <c r="D12" i="1"/>
  <c r="E12" i="1"/>
  <c r="F12" i="1"/>
  <c r="G12" i="1"/>
  <c r="D13" i="1"/>
  <c r="E13" i="1"/>
  <c r="F13" i="1"/>
  <c r="G13" i="1"/>
  <c r="D14" i="1"/>
  <c r="E14" i="1"/>
  <c r="F14" i="1"/>
  <c r="G14" i="1"/>
  <c r="D15" i="1"/>
  <c r="E15" i="1"/>
  <c r="F15" i="1"/>
  <c r="G15" i="1"/>
  <c r="D16" i="1"/>
  <c r="E16" i="1"/>
  <c r="F16" i="1"/>
  <c r="G16" i="1"/>
  <c r="D17" i="1"/>
  <c r="E17" i="1"/>
  <c r="F17" i="1"/>
  <c r="G17" i="1"/>
  <c r="D18" i="1"/>
  <c r="E18" i="1"/>
  <c r="F18" i="1"/>
  <c r="G18" i="1"/>
  <c r="D19" i="1"/>
  <c r="E19" i="1"/>
  <c r="F19" i="1"/>
  <c r="G19" i="1"/>
  <c r="D20" i="1"/>
  <c r="E20" i="1"/>
  <c r="F20" i="1"/>
  <c r="G20" i="1"/>
  <c r="D21" i="1"/>
  <c r="E21" i="1"/>
  <c r="F21" i="1"/>
  <c r="G21" i="1"/>
  <c r="P11" i="6"/>
  <c r="P7" i="6"/>
  <c r="F3" i="3"/>
  <c r="H3" i="3"/>
  <c r="D9" i="2"/>
  <c r="J14" i="1"/>
  <c r="K14" i="1"/>
  <c r="D21" i="2"/>
  <c r="D20" i="2"/>
  <c r="D13" i="2"/>
  <c r="D12" i="2"/>
  <c r="D32" i="2"/>
  <c r="D34" i="2"/>
  <c r="D5" i="2"/>
  <c r="D10" i="2"/>
  <c r="D11" i="2"/>
  <c r="D7" i="2"/>
  <c r="D18" i="2"/>
  <c r="D16" i="2"/>
  <c r="C12" i="1"/>
  <c r="C13" i="1"/>
  <c r="C14" i="1"/>
  <c r="C15" i="1"/>
  <c r="C16" i="1"/>
  <c r="C17" i="1"/>
  <c r="C18" i="1"/>
  <c r="C19" i="1"/>
  <c r="C20" i="1"/>
  <c r="C21" i="1"/>
  <c r="C11" i="1"/>
  <c r="J13" i="1"/>
  <c r="K13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11" i="1"/>
  <c r="I11" i="1"/>
  <c r="F5" i="3"/>
  <c r="F6" i="3"/>
  <c r="F8" i="3"/>
  <c r="F9" i="3"/>
  <c r="F4" i="3"/>
  <c r="D38" i="2"/>
  <c r="D6" i="2"/>
  <c r="D17" i="2"/>
  <c r="D14" i="2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8" i="3"/>
  <c r="K8" i="3"/>
  <c r="E9" i="3"/>
  <c r="K9" i="3"/>
  <c r="D42" i="2"/>
  <c r="H5" i="3"/>
  <c r="H6" i="3"/>
  <c r="H7" i="3"/>
  <c r="H8" i="3"/>
  <c r="H9" i="3"/>
  <c r="D49" i="2"/>
  <c r="P3" i="6"/>
  <c r="R3" i="6"/>
  <c r="R7" i="6"/>
  <c r="D4" i="2"/>
  <c r="J11" i="1"/>
  <c r="K11" i="1"/>
  <c r="D30" i="2"/>
  <c r="R11" i="6"/>
  <c r="N11" i="3"/>
  <c r="N12" i="3"/>
  <c r="N10" i="3"/>
  <c r="D15" i="2"/>
  <c r="D19" i="2"/>
  <c r="D39" i="2"/>
  <c r="D31" i="2"/>
  <c r="D27" i="2"/>
  <c r="M5" i="1"/>
  <c r="C4" i="5"/>
  <c r="B24" i="5"/>
  <c r="G24" i="5"/>
  <c r="B23" i="5"/>
  <c r="F23" i="5"/>
  <c r="B22" i="5"/>
  <c r="E22" i="5"/>
  <c r="B21" i="5"/>
  <c r="D21" i="5"/>
  <c r="B20" i="5"/>
  <c r="C20" i="5"/>
  <c r="B19" i="5"/>
  <c r="B18" i="5"/>
  <c r="H18" i="5"/>
  <c r="B17" i="5"/>
  <c r="H17" i="5"/>
  <c r="B16" i="5"/>
  <c r="G16" i="5"/>
  <c r="B15" i="5"/>
  <c r="F15" i="5"/>
  <c r="B14" i="5"/>
  <c r="E14" i="5"/>
  <c r="B13" i="5"/>
  <c r="D13" i="5"/>
  <c r="B12" i="5"/>
  <c r="C12" i="5"/>
  <c r="B11" i="5"/>
  <c r="B10" i="5"/>
  <c r="H10" i="5"/>
  <c r="B9" i="5"/>
  <c r="H9" i="5"/>
  <c r="B8" i="5"/>
  <c r="G8" i="5"/>
  <c r="B7" i="5"/>
  <c r="F7" i="5"/>
  <c r="B6" i="5"/>
  <c r="E6" i="5"/>
  <c r="B5" i="5"/>
  <c r="D5" i="5"/>
  <c r="B4" i="5"/>
  <c r="J3" i="5"/>
  <c r="E23" i="5"/>
  <c r="D54" i="2"/>
  <c r="D48" i="2"/>
  <c r="M2" i="1"/>
  <c r="D35" i="2"/>
  <c r="D28" i="2"/>
  <c r="D33" i="2"/>
  <c r="D43" i="2"/>
  <c r="D46" i="2"/>
  <c r="D44" i="2"/>
  <c r="D29" i="2"/>
  <c r="D41" i="2"/>
  <c r="E4" i="3"/>
  <c r="K4" i="3"/>
  <c r="D45" i="2"/>
  <c r="D25" i="2"/>
  <c r="D40" i="2"/>
  <c r="D22" i="2"/>
  <c r="J12" i="1"/>
  <c r="K12" i="1"/>
  <c r="D8" i="2"/>
  <c r="D4" i="5"/>
  <c r="F6" i="5"/>
  <c r="G7" i="5"/>
  <c r="H8" i="5"/>
  <c r="C11" i="5"/>
  <c r="D12" i="5"/>
  <c r="F14" i="5"/>
  <c r="G15" i="5"/>
  <c r="H16" i="5"/>
  <c r="C19" i="5"/>
  <c r="E21" i="5"/>
  <c r="F22" i="5"/>
  <c r="H24" i="5"/>
  <c r="E4" i="5"/>
  <c r="F5" i="5"/>
  <c r="G6" i="5"/>
  <c r="H7" i="5"/>
  <c r="C10" i="5"/>
  <c r="F13" i="5"/>
  <c r="D19" i="5"/>
  <c r="E20" i="5"/>
  <c r="G22" i="5"/>
  <c r="F4" i="5"/>
  <c r="H6" i="5"/>
  <c r="C9" i="5"/>
  <c r="D10" i="5"/>
  <c r="E11" i="5"/>
  <c r="F12" i="5"/>
  <c r="G13" i="5"/>
  <c r="H14" i="5"/>
  <c r="C17" i="5"/>
  <c r="D18" i="5"/>
  <c r="E19" i="5"/>
  <c r="F20" i="5"/>
  <c r="G21" i="5"/>
  <c r="H22" i="5"/>
  <c r="E5" i="5"/>
  <c r="E13" i="5"/>
  <c r="D20" i="5"/>
  <c r="G23" i="5"/>
  <c r="D11" i="5"/>
  <c r="E12" i="5"/>
  <c r="G14" i="5"/>
  <c r="H15" i="5"/>
  <c r="C18" i="5"/>
  <c r="F21" i="5"/>
  <c r="H23" i="5"/>
  <c r="G5" i="5"/>
  <c r="G4" i="5"/>
  <c r="H5" i="5"/>
  <c r="C8" i="5"/>
  <c r="D9" i="5"/>
  <c r="E10" i="5"/>
  <c r="F11" i="5"/>
  <c r="G12" i="5"/>
  <c r="H13" i="5"/>
  <c r="C16" i="5"/>
  <c r="D17" i="5"/>
  <c r="E18" i="5"/>
  <c r="F19" i="5"/>
  <c r="G20" i="5"/>
  <c r="H21" i="5"/>
  <c r="C24" i="5"/>
  <c r="H4" i="5"/>
  <c r="F10" i="5"/>
  <c r="C23" i="5"/>
  <c r="D24" i="5"/>
  <c r="C6" i="5"/>
  <c r="D7" i="5"/>
  <c r="E8" i="5"/>
  <c r="F9" i="5"/>
  <c r="G10" i="5"/>
  <c r="H11" i="5"/>
  <c r="C14" i="5"/>
  <c r="D15" i="5"/>
  <c r="E16" i="5"/>
  <c r="F17" i="5"/>
  <c r="G18" i="5"/>
  <c r="H19" i="5"/>
  <c r="C22" i="5"/>
  <c r="D23" i="5"/>
  <c r="E24" i="5"/>
  <c r="C7" i="5"/>
  <c r="E9" i="5"/>
  <c r="G11" i="5"/>
  <c r="H12" i="5"/>
  <c r="C15" i="5"/>
  <c r="E17" i="5"/>
  <c r="F18" i="5"/>
  <c r="H20" i="5"/>
  <c r="C5" i="5"/>
  <c r="F8" i="5"/>
  <c r="C13" i="5"/>
  <c r="C21" i="5"/>
  <c r="D22" i="5"/>
  <c r="F24" i="5"/>
  <c r="D8" i="5"/>
  <c r="D16" i="5"/>
  <c r="G19" i="5"/>
  <c r="D6" i="5"/>
  <c r="E7" i="5"/>
  <c r="G9" i="5"/>
  <c r="D14" i="5"/>
  <c r="E15" i="5"/>
  <c r="F16" i="5"/>
  <c r="G17" i="5"/>
  <c r="E3" i="1"/>
  <c r="E4" i="1"/>
  <c r="B6" i="1"/>
  <c r="E5" i="3"/>
  <c r="K5" i="3"/>
  <c r="E14" i="3"/>
  <c r="F14" i="3"/>
  <c r="E16" i="3"/>
  <c r="F16" i="3"/>
  <c r="E18" i="3"/>
  <c r="F18" i="3"/>
  <c r="E7" i="3"/>
  <c r="K7" i="3"/>
  <c r="E15" i="3"/>
  <c r="F15" i="3"/>
  <c r="E17" i="3"/>
  <c r="F17" i="3"/>
  <c r="E6" i="3"/>
  <c r="K6" i="3"/>
  <c r="M10" i="1"/>
  <c r="E2" i="1"/>
  <c r="B6" i="4"/>
  <c r="O1" i="3"/>
  <c r="G2" i="1"/>
  <c r="G3" i="3"/>
  <c r="I3" i="3"/>
  <c r="G5" i="3"/>
  <c r="I5" i="3"/>
  <c r="G9" i="3"/>
  <c r="I9" i="3"/>
  <c r="G4" i="3"/>
  <c r="I4" i="3"/>
  <c r="G7" i="3"/>
  <c r="I7" i="3"/>
  <c r="G8" i="3"/>
  <c r="I8" i="3"/>
  <c r="G6" i="3"/>
  <c r="I6" i="3"/>
  <c r="B11" i="4"/>
  <c r="O2" i="3"/>
  <c r="B5" i="4"/>
  <c r="I3" i="1"/>
  <c r="B3" i="4"/>
  <c r="K7" i="1"/>
  <c r="B4" i="4"/>
  <c r="N3" i="6"/>
  <c r="O3" i="6"/>
  <c r="N11" i="6"/>
  <c r="O11" i="6"/>
  <c r="M7" i="1"/>
  <c r="B10" i="4"/>
  <c r="N7" i="6"/>
  <c r="O7" i="6"/>
  <c r="B17" i="4"/>
  <c r="B21" i="4"/>
  <c r="B22" i="4"/>
  <c r="B12" i="4"/>
  <c r="B15" i="4"/>
  <c r="B16" i="4"/>
  <c r="K8" i="1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tc={9013922E-2481-4C60-BBD8-E138BA83D6B4}</author>
    <author>tc={070ECACD-DBB0-49D1-A2D1-BCD03F706FBE}</author>
    <author>tc={A44E245E-173C-482C-8824-3D2DD30C71CA}</author>
  </authors>
  <commentList>
    <comment ref="G2" authorId="0" shapeId="0" xr:uid="{9013922E-2481-4C60-BBD8-E138BA83D6B4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Brewer's Friend website
https://www.brewersfriend.com/plato-to-sg-conversion-chart/#</t>
      </text>
    </comment>
    <comment ref="I4" authorId="1" shapeId="0" xr:uid="{070ECACD-DBB0-49D1-A2D1-BCD03F706FBE}">
      <text>
        <t>[Threaded comment]
Your version of Excel allows you to read this threaded comment; however, any edits to it will get removed if the file is opened in a newer version of Excel. Learn more: https://go.microsoft.com/fwlink/?linkid=870924
Comment:
    Eq. from How to Brew pg. 470</t>
      </text>
    </comment>
    <comment ref="I10" authorId="2" shapeId="0" xr:uid="{A44E245E-173C-482C-8824-3D2DD30C71CA}">
      <text>
        <t>[Threaded comment]
Your version of Excel allows you to read this threaded comment; however, any edits to it will get removed if the file is opened in a newer version of Excel. Learn more: https://go.microsoft.com/fwlink/?linkid=870924
Comment:
    Eq. from How to Brew pg. 469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tc={2F7ABE22-D131-4D30-87DD-326A036A16DA}</author>
    <author>tc={2C64D7F3-B063-47F1-BC45-2BB6A0ED5728}</author>
    <author>tc={B9C30317-1EBA-4DE5-B327-18F1CFF5455B}</author>
  </authors>
  <commentList>
    <comment ref="G2" authorId="0" shapeId="0" xr:uid="{2F7ABE22-D131-4D30-87DD-326A036A16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Eq. from How To Brew pg. 80 </t>
      </text>
    </comment>
    <comment ref="J2" authorId="1" shapeId="0" xr:uid="{2C64D7F3-B063-47F1-BC45-2BB6A0ED572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Eq. from How to Brew pg. 77 </t>
      </text>
    </comment>
    <comment ref="M8" authorId="2" shapeId="0" xr:uid="{B9C30317-1EBA-4DE5-B327-18F1CFF5455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Developed from Zymurgy May/June 2022 pg. 59. </t>
      </text>
    </comment>
  </commentList>
</comments>
</file>

<file path=xl/sharedStrings.xml><?xml version="1.0" encoding="utf-8"?>
<sst xmlns="http://schemas.openxmlformats.org/spreadsheetml/2006/main" count="326" uniqueCount="209">
  <si>
    <t>Costs Oct 2022</t>
  </si>
  <si>
    <t>Mash</t>
  </si>
  <si>
    <t>Malts</t>
  </si>
  <si>
    <t>Bulk Price</t>
  </si>
  <si>
    <t>Bulk Amount</t>
  </si>
  <si>
    <t>Unit Cost</t>
  </si>
  <si>
    <t>unit</t>
  </si>
  <si>
    <t>FGDB</t>
  </si>
  <si>
    <t>Color</t>
  </si>
  <si>
    <t>2-Row Brewers Malt</t>
  </si>
  <si>
    <t>55 lbs (BrewCh)</t>
  </si>
  <si>
    <t>$/lb</t>
  </si>
  <si>
    <t>American Crystal 120</t>
  </si>
  <si>
    <t>1 lb (BrewCh)</t>
  </si>
  <si>
    <t>American Crystal 40</t>
  </si>
  <si>
    <t>American Crystal 60</t>
  </si>
  <si>
    <t>Bonlander Munich</t>
  </si>
  <si>
    <t>50 lbs (BrewCh)</t>
  </si>
  <si>
    <t>Carafoam</t>
  </si>
  <si>
    <t>English Crystal 15</t>
  </si>
  <si>
    <t>English Crystal 170</t>
  </si>
  <si>
    <t>Flaked Oats</t>
  </si>
  <si>
    <t>Flaked Wheat</t>
  </si>
  <si>
    <t>2 lb (BrewCh)</t>
  </si>
  <si>
    <t>Golden Promise</t>
  </si>
  <si>
    <t>Goldpils Vienna</t>
  </si>
  <si>
    <t>Midnight Wheat</t>
  </si>
  <si>
    <t>Munich Type 1</t>
  </si>
  <si>
    <t>Munich Type 2</t>
  </si>
  <si>
    <t>Pilsener</t>
  </si>
  <si>
    <t>55lbs (BrewCh)</t>
  </si>
  <si>
    <t>Raw Wheat</t>
  </si>
  <si>
    <t>Rice Hulls</t>
  </si>
  <si>
    <t>White Wheat</t>
  </si>
  <si>
    <t>Hops</t>
  </si>
  <si>
    <t>Variety</t>
  </si>
  <si>
    <t>α-acid %</t>
  </si>
  <si>
    <t>β-acid %</t>
  </si>
  <si>
    <t xml:space="preserve">Amarillo </t>
  </si>
  <si>
    <t>1 lb (Yak Valley)</t>
  </si>
  <si>
    <t>$/oz</t>
  </si>
  <si>
    <t>Bravo</t>
  </si>
  <si>
    <t>Cashmere</t>
  </si>
  <si>
    <t>1 lb (BrewChatter)</t>
  </si>
  <si>
    <t>Chinook</t>
  </si>
  <si>
    <t>1 lb (Morebeer)</t>
  </si>
  <si>
    <t>Citra</t>
  </si>
  <si>
    <t>Citra LupoMAX</t>
  </si>
  <si>
    <t>CTZ</t>
  </si>
  <si>
    <t>East Kent Goldings</t>
  </si>
  <si>
    <t>2 oz (BrewChatter)</t>
  </si>
  <si>
    <t>Ekuanot</t>
  </si>
  <si>
    <t>Fuggle</t>
  </si>
  <si>
    <t>Hallertau Mittelfrüh</t>
  </si>
  <si>
    <t>0.5 lb (Yak Valley)</t>
  </si>
  <si>
    <t>Idaho 7</t>
  </si>
  <si>
    <t>Lotus</t>
  </si>
  <si>
    <t>Magnum</t>
  </si>
  <si>
    <t>Mosaic</t>
  </si>
  <si>
    <t>Mosaic LupoMAX</t>
  </si>
  <si>
    <t>Nugget</t>
  </si>
  <si>
    <t>Perle</t>
  </si>
  <si>
    <t>Simcoe</t>
  </si>
  <si>
    <t>Sterling</t>
  </si>
  <si>
    <t>Yeasts</t>
  </si>
  <si>
    <t>Imperial Yeast</t>
  </si>
  <si>
    <t>200 Billion Cells</t>
  </si>
  <si>
    <t>$/Billion Cells</t>
  </si>
  <si>
    <t xml:space="preserve">Wyeast </t>
  </si>
  <si>
    <t>100 Billion Cells</t>
  </si>
  <si>
    <t xml:space="preserve">White Labs </t>
  </si>
  <si>
    <t>Cans</t>
  </si>
  <si>
    <t>16 oz w/ lid</t>
  </si>
  <si>
    <t>$/can</t>
  </si>
  <si>
    <t>Canning Rental</t>
  </si>
  <si>
    <t>/ hr</t>
  </si>
  <si>
    <t>Recommended pitch rate for style (billion cells/L/P)</t>
  </si>
  <si>
    <t>Ale</t>
  </si>
  <si>
    <t>Lager</t>
  </si>
  <si>
    <t>L per Gal</t>
  </si>
  <si>
    <t>High</t>
  </si>
  <si>
    <t>Mod</t>
  </si>
  <si>
    <t>Low</t>
  </si>
  <si>
    <t>SG</t>
  </si>
  <si>
    <t>Plato</t>
  </si>
  <si>
    <t>Moderate</t>
  </si>
  <si>
    <t>Imperial 
Pitch Right</t>
  </si>
  <si>
    <t>Wyeast 
Smack Pack</t>
  </si>
  <si>
    <t>White Labs 
Pure Pitch</t>
  </si>
  <si>
    <t>Target Pre-boil Volumes and Gravity</t>
  </si>
  <si>
    <t xml:space="preserve">Mash and Pre-boil Kettle </t>
  </si>
  <si>
    <t>Post-boil Kettle, Yeast Selection. and Fermentation Targets.</t>
  </si>
  <si>
    <t>Pitch Rate and Cost Using Starter</t>
  </si>
  <si>
    <t>Gallons of Mash water</t>
  </si>
  <si>
    <t>Calc'd Pre-boil SG</t>
  </si>
  <si>
    <t>Calc'd Pre-boil Plato</t>
  </si>
  <si>
    <t>Post Boil Plato</t>
  </si>
  <si>
    <t>Yeast Brand (Select from Drop Down)</t>
  </si>
  <si>
    <t>Cost/billion Cells</t>
  </si>
  <si>
    <t>Desired pre-boil kettle Vol (gal)</t>
  </si>
  <si>
    <t>Estimated Mash Rv (qt/lb)</t>
  </si>
  <si>
    <t>Rv Should be 1.25-2</t>
  </si>
  <si>
    <t>Post Boil SG (OG)</t>
  </si>
  <si>
    <t>Yeast Type</t>
  </si>
  <si>
    <t>Yeast Type 
(Select from Drop Down)</t>
  </si>
  <si>
    <t>Est. post-boil kettle Vol (gal)</t>
  </si>
  <si>
    <t>Estimated Mash R (lb/lb)</t>
  </si>
  <si>
    <t>R should be
2.5-4</t>
  </si>
  <si>
    <t>Calc'd SRM 
(Post-boil)</t>
  </si>
  <si>
    <t>Apparent Attenuation</t>
  </si>
  <si>
    <t>Desired Yeast Character
(Select from Drop Down)</t>
  </si>
  <si>
    <t>Desired pre boil wort SG</t>
  </si>
  <si>
    <t>Mash Temp, F</t>
  </si>
  <si>
    <t>Initial Ferm 
Temp, F</t>
  </si>
  <si>
    <t>Pitch Rate 
(billion cells/L/P)</t>
  </si>
  <si>
    <t>Target Pre-boil gravity points</t>
  </si>
  <si>
    <t>Mash Time, min</t>
  </si>
  <si>
    <t>Maturation Ferm Temp, F</t>
  </si>
  <si>
    <t>Pitch per batch 
(billion cells)</t>
  </si>
  <si>
    <t>Brewing Efficiency</t>
  </si>
  <si>
    <t>Est. FG</t>
  </si>
  <si>
    <t xml:space="preserve">Yeast Cost </t>
  </si>
  <si>
    <t>Est ABV</t>
  </si>
  <si>
    <t>Grist Schedule</t>
  </si>
  <si>
    <t>Type of malt
(Select from Dropdown)</t>
  </si>
  <si>
    <t>Quantity of malt (lb)</t>
  </si>
  <si>
    <t>Percent of Grain Bill</t>
  </si>
  <si>
    <t>Max yield FGDB (%)</t>
  </si>
  <si>
    <t>Max yield PPG (Gal Deg/lb)</t>
  </si>
  <si>
    <t>BE PPG 
(Gal Deg/lb)</t>
  </si>
  <si>
    <t>Est. Yield 
(Points)</t>
  </si>
  <si>
    <t>Color (L)</t>
  </si>
  <si>
    <t>MCU 
(Post Boil)</t>
  </si>
  <si>
    <t>Cost per Pound</t>
  </si>
  <si>
    <t>Total Cost</t>
  </si>
  <si>
    <t>Total Cost of Grist</t>
  </si>
  <si>
    <t>Uses Stir plate model data from C. White</t>
  </si>
  <si>
    <t>Starter Vol in Liters</t>
  </si>
  <si>
    <t xml:space="preserve">Solver, 100 Billion Cells Starting, 250-400 Billion Cells Finish </t>
  </si>
  <si>
    <t># of Cells Needed</t>
  </si>
  <si>
    <t>Multiple, Calc'd</t>
  </si>
  <si>
    <t>Multiple, Solved</t>
  </si>
  <si>
    <t>Vol, L</t>
  </si>
  <si>
    <t>DME needed, g</t>
  </si>
  <si>
    <t>Yeast Cells, 100 billions</t>
  </si>
  <si>
    <t xml:space="preserve">Solver, 200 Billion Cells Starting, 400-700 Billion Cells Finish </t>
  </si>
  <si>
    <t>Reference:</t>
  </si>
  <si>
    <t>Solver, 400 Billion Cells Starting, 800-1000 Billion Cells Finishing</t>
  </si>
  <si>
    <t>Yeast Pitch Calculator | MoreBeer</t>
  </si>
  <si>
    <t>Using 100B solver for 400-500 billion. Use 100B starter plus another pack of 100B. Solver will subtract 100 from # of cells needed to be able to use 100B_Solve.</t>
  </si>
  <si>
    <t>for 700B to 800B needed, use 200B starter plus another 200B. Solver will subtract 200 from # of cells needed to use 200B_Solve.</t>
  </si>
  <si>
    <t>for 1000B+ needed, use 400B starter plus another 200B. Solver will subtract 200 from # of cells needed to use 400B_Solve.</t>
  </si>
  <si>
    <t>Kettle Additions</t>
  </si>
  <si>
    <t>Total Hop Cost</t>
  </si>
  <si>
    <t>Time at temp</t>
  </si>
  <si>
    <t>Wort Temp, F</t>
  </si>
  <si>
    <t>Type (select from dropdown)</t>
  </si>
  <si>
    <t>Weight (oz)</t>
  </si>
  <si>
    <t>Cost/oz</t>
  </si>
  <si>
    <t>% Alpha Acid</t>
  </si>
  <si>
    <t>Utilization at 212F</t>
  </si>
  <si>
    <t>Temp  Factor</t>
  </si>
  <si>
    <t>Adj. Utilization</t>
  </si>
  <si>
    <t>Bitterness Units</t>
  </si>
  <si>
    <t xml:space="preserve">Cost </t>
  </si>
  <si>
    <t>Total IBU</t>
  </si>
  <si>
    <t>Temp Factor</t>
  </si>
  <si>
    <t>T, C</t>
  </si>
  <si>
    <t>T, F</t>
  </si>
  <si>
    <t>Factor</t>
  </si>
  <si>
    <t>Dry Hops</t>
  </si>
  <si>
    <t>Est. Ferm. Vol.</t>
  </si>
  <si>
    <t>Dry hop to Beer Ratio</t>
  </si>
  <si>
    <t>Time</t>
  </si>
  <si>
    <t>weight (oz)</t>
  </si>
  <si>
    <t>Post Ferm</t>
  </si>
  <si>
    <t>Should be 0.5 oz/gal for traditional IPA up to 2 oz/gal for the juiciest NEIPA</t>
  </si>
  <si>
    <t>Dry hop day 2</t>
  </si>
  <si>
    <t>Dry hop day 3</t>
  </si>
  <si>
    <t>Item</t>
  </si>
  <si>
    <t>Calc'd Value</t>
  </si>
  <si>
    <t>OG</t>
  </si>
  <si>
    <t>FG</t>
  </si>
  <si>
    <t>IBU</t>
  </si>
  <si>
    <t xml:space="preserve">SRM </t>
  </si>
  <si>
    <t>ABV</t>
  </si>
  <si>
    <t>oz dry hop / gal beer</t>
  </si>
  <si>
    <t>Total Ingredient Cost</t>
  </si>
  <si>
    <t>Total Ingredient Cost Reusing Yeast</t>
  </si>
  <si>
    <t>% savings by Reusing Yeast</t>
  </si>
  <si>
    <t># of 16 oz Canned</t>
  </si>
  <si>
    <t>Cost per 16oz</t>
  </si>
  <si>
    <t>Cost per 4 pk</t>
  </si>
  <si>
    <t>Cost for run</t>
  </si>
  <si>
    <t>Price per 4pk</t>
  </si>
  <si>
    <t># of 4 pk sold</t>
  </si>
  <si>
    <t>Number to break even</t>
  </si>
  <si>
    <t>total revenue</t>
  </si>
  <si>
    <t>total return</t>
  </si>
  <si>
    <t>Total Margin</t>
  </si>
  <si>
    <t>All sheets in this workbook produced by Mike Persyn</t>
  </si>
  <si>
    <t># of pints in kegs</t>
  </si>
  <si>
    <t>192-16 oz Cans</t>
  </si>
  <si>
    <t>Boil Time, min</t>
  </si>
  <si>
    <t>Omega Dry</t>
  </si>
  <si>
    <t>Hopstiener 9326</t>
  </si>
  <si>
    <t>Helios</t>
  </si>
  <si>
    <t>A07 Flagship</t>
  </si>
  <si>
    <t>Experiments Are Fun WC IPA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</si>
</sst>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"/>
    <numFmt numFmtId="165" formatCode="0.000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&quot;$&quot;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0B4"/>
        <bgColor rgb="FF000000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88">
    <xf numFmtId="0" fontId="0" fillId="0" borderId="0" xfId="0"/>
    <xf numFmtId="0" fontId="0" fillId="0" borderId="0" xfId="0" applyAlignment="1">
      <alignment vertical="center" wrapText="1"/>
    </xf>
    <xf numFmtId="0" fontId="0" fillId="2" borderId="8" xfId="0" applyFill="1" applyBorder="1" applyAlignment="1">
      <alignment vertical="center" wrapText="1"/>
    </xf>
    <xf numFmtId="0" fontId="0" fillId="2" borderId="10" xfId="0" applyFill="1" applyBorder="1" applyAlignment="1">
      <alignment horizontal="left" vertical="center" wrapText="1"/>
    </xf>
    <xf numFmtId="0" fontId="0" fillId="2" borderId="4" xfId="0" applyFill="1" applyBorder="1" applyAlignment="1">
      <alignment vertical="center" wrapText="1"/>
    </xf>
    <xf numFmtId="0" fontId="0" fillId="0" borderId="1" xfId="0" applyBorder="1"/>
    <xf numFmtId="44" fontId="0" fillId="0" borderId="1" xfId="2" applyFont="1" applyBorder="1"/>
    <xf numFmtId="167" fontId="0" fillId="0" borderId="1" xfId="2" applyNumberFormat="1" applyFont="1" applyFill="1" applyBorder="1"/>
    <xf numFmtId="44" fontId="0" fillId="0" borderId="13" xfId="0" applyNumberFormat="1" applyBorder="1"/>
    <xf numFmtId="0" fontId="0" fillId="0" borderId="0" xfId="0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left" vertical="center" wrapText="1"/>
    </xf>
    <xf numFmtId="44" fontId="0" fillId="0" borderId="5" xfId="2" applyFont="1" applyBorder="1" applyAlignment="1">
      <alignment vertical="center" wrapText="1"/>
    </xf>
    <xf numFmtId="44" fontId="0" fillId="0" borderId="0" xfId="2" applyFont="1"/>
    <xf numFmtId="0" fontId="0" fillId="2" borderId="1" xfId="0" applyFill="1" applyBorder="1" applyAlignment="1">
      <alignment horizontal="center" vertical="center"/>
    </xf>
    <xf numFmtId="0" fontId="0" fillId="4" borderId="27" xfId="0" applyFill="1" applyBorder="1"/>
    <xf numFmtId="0" fontId="0" fillId="4" borderId="10" xfId="0" applyFill="1" applyBorder="1"/>
    <xf numFmtId="0" fontId="0" fillId="4" borderId="2" xfId="0" applyFill="1" applyBorder="1" applyAlignment="1">
      <alignment horizontal="center"/>
    </xf>
    <xf numFmtId="0" fontId="0" fillId="4" borderId="33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165" fontId="0" fillId="4" borderId="1" xfId="0" applyNumberFormat="1" applyFill="1" applyBorder="1"/>
    <xf numFmtId="164" fontId="0" fillId="4" borderId="35" xfId="0" applyNumberFormat="1" applyFill="1" applyBorder="1"/>
    <xf numFmtId="1" fontId="0" fillId="4" borderId="36" xfId="0" applyNumberFormat="1" applyFill="1" applyBorder="1"/>
    <xf numFmtId="1" fontId="0" fillId="4" borderId="10" xfId="0" applyNumberFormat="1" applyFill="1" applyBorder="1"/>
    <xf numFmtId="1" fontId="0" fillId="4" borderId="37" xfId="0" applyNumberFormat="1" applyFill="1" applyBorder="1"/>
    <xf numFmtId="1" fontId="0" fillId="4" borderId="38" xfId="0" applyNumberFormat="1" applyFill="1" applyBorder="1"/>
    <xf numFmtId="0" fontId="0" fillId="4" borderId="1" xfId="0" applyFill="1" applyBorder="1"/>
    <xf numFmtId="1" fontId="0" fillId="4" borderId="6" xfId="0" applyNumberFormat="1" applyFill="1" applyBorder="1"/>
    <xf numFmtId="1" fontId="0" fillId="4" borderId="1" xfId="0" applyNumberFormat="1" applyFill="1" applyBorder="1"/>
    <xf numFmtId="1" fontId="0" fillId="4" borderId="7" xfId="0" applyNumberFormat="1" applyFill="1" applyBorder="1"/>
    <xf numFmtId="1" fontId="0" fillId="4" borderId="2" xfId="0" applyNumberFormat="1" applyFill="1" applyBorder="1"/>
    <xf numFmtId="1" fontId="0" fillId="4" borderId="33" xfId="0" applyNumberFormat="1" applyFill="1" applyBorder="1"/>
    <xf numFmtId="1" fontId="0" fillId="4" borderId="3" xfId="0" applyNumberFormat="1" applyFill="1" applyBorder="1"/>
    <xf numFmtId="166" fontId="0" fillId="0" borderId="1" xfId="1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2" borderId="39" xfId="0" applyFill="1" applyBorder="1"/>
    <xf numFmtId="0" fontId="0" fillId="2" borderId="1" xfId="0" applyFill="1" applyBorder="1"/>
    <xf numFmtId="0" fontId="0" fillId="2" borderId="10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1" fontId="0" fillId="0" borderId="43" xfId="0" applyNumberFormat="1" applyBorder="1" applyAlignment="1">
      <alignment horizontal="center"/>
    </xf>
    <xf numFmtId="0" fontId="0" fillId="2" borderId="15" xfId="0" applyFill="1" applyBorder="1" applyAlignment="1">
      <alignment vertical="center" wrapText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0" borderId="20" xfId="0" applyBorder="1" applyAlignment="1">
      <alignment vertical="center" wrapText="1"/>
    </xf>
    <xf numFmtId="164" fontId="0" fillId="0" borderId="9" xfId="0" applyNumberFormat="1" applyBorder="1" applyAlignment="1">
      <alignment horizontal="center" vertical="center" wrapText="1"/>
    </xf>
    <xf numFmtId="165" fontId="0" fillId="5" borderId="16" xfId="0" applyNumberFormat="1" applyFill="1" applyBorder="1" applyAlignment="1">
      <alignment horizontal="center" vertical="center" wrapText="1"/>
    </xf>
    <xf numFmtId="164" fontId="0" fillId="5" borderId="9" xfId="0" applyNumberFormat="1" applyFill="1" applyBorder="1" applyAlignment="1">
      <alignment horizontal="center" vertical="center" wrapText="1"/>
    </xf>
    <xf numFmtId="1" fontId="0" fillId="0" borderId="5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/>
    </xf>
    <xf numFmtId="166" fontId="0" fillId="0" borderId="1" xfId="1" applyNumberFormat="1" applyFont="1" applyFill="1" applyBorder="1" applyAlignment="1">
      <alignment horizontal="center"/>
    </xf>
    <xf numFmtId="1" fontId="0" fillId="0" borderId="0" xfId="0" applyNumberFormat="1"/>
    <xf numFmtId="0" fontId="0" fillId="4" borderId="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0" fontId="0" fillId="3" borderId="5" xfId="2" applyNumberFormat="1" applyFon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20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3" fillId="3" borderId="21" xfId="0" applyFont="1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18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 vertical="center" wrapText="1"/>
      <protection locked="0"/>
    </xf>
    <xf numFmtId="0" fontId="6" fillId="0" borderId="0" xfId="3"/>
    <xf numFmtId="2" fontId="0" fillId="2" borderId="1" xfId="0" applyNumberFormat="1" applyFill="1" applyBorder="1" applyAlignment="1">
      <alignment horizontal="center" vertical="center" wrapText="1"/>
    </xf>
    <xf numFmtId="164" fontId="0" fillId="2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21" xfId="0" applyBorder="1" applyAlignment="1">
      <alignment vertical="center" wrapText="1"/>
    </xf>
    <xf numFmtId="0" fontId="0" fillId="0" borderId="52" xfId="0" applyBorder="1" applyAlignment="1">
      <alignment vertical="center" wrapText="1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8" borderId="0" xfId="0" applyFill="1" applyAlignment="1">
      <alignment vertical="center" wrapText="1"/>
    </xf>
    <xf numFmtId="9" fontId="0" fillId="3" borderId="9" xfId="1" applyFont="1" applyFill="1" applyBorder="1" applyAlignment="1" applyProtection="1">
      <alignment horizontal="center" vertical="center" wrapText="1"/>
      <protection locked="0"/>
    </xf>
    <xf numFmtId="165" fontId="0" fillId="5" borderId="9" xfId="0" applyNumberFormat="1" applyFill="1" applyBorder="1" applyAlignment="1">
      <alignment horizontal="center" vertical="center" wrapText="1"/>
    </xf>
    <xf numFmtId="0" fontId="0" fillId="4" borderId="0" xfId="0" applyFill="1"/>
    <xf numFmtId="0" fontId="0" fillId="0" borderId="16" xfId="0" applyBorder="1" applyAlignment="1">
      <alignment vertical="center" wrapText="1"/>
    </xf>
    <xf numFmtId="44" fontId="0" fillId="0" borderId="9" xfId="0" applyNumberFormat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44" fontId="0" fillId="0" borderId="7" xfId="0" applyNumberFormat="1" applyBorder="1"/>
    <xf numFmtId="0" fontId="0" fillId="3" borderId="33" xfId="0" applyFill="1" applyBorder="1" applyAlignment="1" applyProtection="1">
      <alignment horizontal="center"/>
      <protection locked="0"/>
    </xf>
    <xf numFmtId="164" fontId="0" fillId="3" borderId="33" xfId="0" applyNumberFormat="1" applyFill="1" applyBorder="1" applyAlignment="1" applyProtection="1">
      <alignment horizontal="center"/>
      <protection locked="0"/>
    </xf>
    <xf numFmtId="166" fontId="0" fillId="0" borderId="33" xfId="1" applyNumberFormat="1" applyFont="1" applyBorder="1" applyAlignment="1">
      <alignment horizontal="center"/>
    </xf>
    <xf numFmtId="44" fontId="0" fillId="0" borderId="3" xfId="0" applyNumberFormat="1" applyBorder="1"/>
    <xf numFmtId="0" fontId="0" fillId="8" borderId="56" xfId="0" applyFill="1" applyBorder="1"/>
    <xf numFmtId="0" fontId="0" fillId="0" borderId="57" xfId="0" applyBorder="1" applyAlignment="1">
      <alignment horizontal="center"/>
    </xf>
    <xf numFmtId="0" fontId="0" fillId="2" borderId="6" xfId="0" applyFill="1" applyBorder="1"/>
    <xf numFmtId="0" fontId="0" fillId="3" borderId="6" xfId="0" applyFill="1" applyBorder="1" applyProtection="1">
      <protection locked="0"/>
    </xf>
    <xf numFmtId="0" fontId="0" fillId="3" borderId="6" xfId="0" applyFill="1" applyBorder="1" applyAlignment="1" applyProtection="1">
      <alignment horizontal="left" vertical="center" wrapText="1"/>
      <protection locked="0"/>
    </xf>
    <xf numFmtId="0" fontId="0" fillId="3" borderId="2" xfId="0" applyFill="1" applyBorder="1" applyProtection="1">
      <protection locked="0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7" xfId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3" xfId="0" applyBorder="1" applyAlignment="1">
      <alignment horizontal="center"/>
    </xf>
    <xf numFmtId="9" fontId="0" fillId="0" borderId="3" xfId="1" applyFont="1" applyBorder="1" applyAlignment="1">
      <alignment horizontal="center"/>
    </xf>
    <xf numFmtId="1" fontId="0" fillId="4" borderId="29" xfId="0" applyNumberFormat="1" applyFill="1" applyBorder="1"/>
    <xf numFmtId="1" fontId="0" fillId="4" borderId="32" xfId="0" applyNumberFormat="1" applyFill="1" applyBorder="1"/>
    <xf numFmtId="1" fontId="0" fillId="4" borderId="55" xfId="0" applyNumberFormat="1" applyFill="1" applyBorder="1"/>
    <xf numFmtId="1" fontId="0" fillId="4" borderId="23" xfId="0" applyNumberFormat="1" applyFill="1" applyBorder="1"/>
    <xf numFmtId="1" fontId="0" fillId="4" borderId="58" xfId="0" applyNumberFormat="1" applyFill="1" applyBorder="1"/>
    <xf numFmtId="1" fontId="0" fillId="4" borderId="18" xfId="0" applyNumberFormat="1" applyFill="1" applyBorder="1"/>
    <xf numFmtId="0" fontId="0" fillId="2" borderId="59" xfId="0" applyFill="1" applyBorder="1" applyAlignment="1">
      <alignment vertical="center" wrapText="1"/>
    </xf>
    <xf numFmtId="165" fontId="0" fillId="0" borderId="60" xfId="0" applyNumberFormat="1" applyBorder="1" applyAlignment="1">
      <alignment horizontal="center" vertical="center" wrapText="1"/>
    </xf>
    <xf numFmtId="0" fontId="0" fillId="2" borderId="20" xfId="1" applyNumberFormat="1" applyFont="1" applyFill="1" applyBorder="1" applyAlignment="1">
      <alignment vertical="center" wrapText="1"/>
    </xf>
    <xf numFmtId="0" fontId="0" fillId="2" borderId="61" xfId="0" applyFill="1" applyBorder="1" applyAlignment="1">
      <alignment vertical="center" wrapText="1"/>
    </xf>
    <xf numFmtId="0" fontId="0" fillId="4" borderId="9" xfId="0" applyFill="1" applyBorder="1" applyAlignment="1">
      <alignment vertical="center" wrapText="1"/>
    </xf>
    <xf numFmtId="2" fontId="0" fillId="4" borderId="63" xfId="0" applyNumberFormat="1" applyFill="1" applyBorder="1" applyAlignment="1">
      <alignment horizontal="center" vertical="center" wrapText="1"/>
    </xf>
    <xf numFmtId="0" fontId="0" fillId="9" borderId="21" xfId="0" applyFill="1" applyBorder="1" applyAlignment="1" applyProtection="1">
      <alignment horizontal="center" vertical="center" wrapText="1"/>
      <protection locked="0"/>
    </xf>
    <xf numFmtId="168" fontId="0" fillId="4" borderId="5" xfId="2" applyNumberFormat="1" applyFont="1" applyFill="1" applyBorder="1" applyAlignment="1" applyProtection="1">
      <alignment vertical="center" wrapText="1"/>
    </xf>
    <xf numFmtId="0" fontId="0" fillId="2" borderId="64" xfId="0" applyFill="1" applyBorder="1" applyAlignment="1">
      <alignment vertical="center" wrapText="1"/>
    </xf>
    <xf numFmtId="0" fontId="0" fillId="3" borderId="65" xfId="0" applyFill="1" applyBorder="1" applyAlignment="1" applyProtection="1">
      <alignment horizontal="center" vertical="center" wrapText="1"/>
      <protection locked="0"/>
    </xf>
    <xf numFmtId="0" fontId="0" fillId="4" borderId="65" xfId="0" applyFill="1" applyBorder="1" applyAlignment="1">
      <alignment horizontal="center" vertical="center" wrapText="1"/>
    </xf>
    <xf numFmtId="165" fontId="0" fillId="3" borderId="65" xfId="0" applyNumberFormat="1" applyFill="1" applyBorder="1" applyAlignment="1" applyProtection="1">
      <alignment horizontal="center" vertical="center" wrapText="1"/>
      <protection locked="0"/>
    </xf>
    <xf numFmtId="0" fontId="0" fillId="0" borderId="65" xfId="0" applyBorder="1" applyAlignment="1">
      <alignment horizontal="center" vertical="center" wrapText="1"/>
    </xf>
    <xf numFmtId="0" fontId="0" fillId="2" borderId="66" xfId="0" applyFill="1" applyBorder="1" applyAlignment="1">
      <alignment vertical="center" wrapText="1"/>
    </xf>
    <xf numFmtId="9" fontId="0" fillId="3" borderId="67" xfId="1" applyFont="1" applyFill="1" applyBorder="1" applyAlignment="1" applyProtection="1">
      <alignment horizontal="center" vertical="center" wrapText="1"/>
      <protection locked="0"/>
    </xf>
    <xf numFmtId="0" fontId="0" fillId="2" borderId="70" xfId="0" applyFill="1" applyBorder="1" applyAlignment="1">
      <alignment vertical="center" wrapText="1"/>
    </xf>
    <xf numFmtId="0" fontId="0" fillId="3" borderId="71" xfId="0" applyFill="1" applyBorder="1" applyAlignment="1" applyProtection="1">
      <alignment horizontal="center" vertical="center" wrapText="1"/>
      <protection locked="0"/>
    </xf>
    <xf numFmtId="0" fontId="0" fillId="2" borderId="70" xfId="0" applyFill="1" applyBorder="1" applyAlignment="1">
      <alignment horizontal="left" vertical="center" wrapText="1"/>
    </xf>
    <xf numFmtId="0" fontId="0" fillId="2" borderId="71" xfId="0" applyFill="1" applyBorder="1" applyAlignment="1">
      <alignment horizontal="left" vertical="center" wrapText="1"/>
    </xf>
    <xf numFmtId="0" fontId="0" fillId="3" borderId="64" xfId="0" applyFill="1" applyBorder="1" applyProtection="1">
      <protection locked="0"/>
    </xf>
    <xf numFmtId="44" fontId="0" fillId="0" borderId="65" xfId="2" applyFont="1" applyBorder="1"/>
    <xf numFmtId="2" fontId="0" fillId="3" borderId="75" xfId="0" applyNumberFormat="1" applyFill="1" applyBorder="1" applyAlignment="1" applyProtection="1">
      <alignment horizontal="center"/>
      <protection locked="0"/>
    </xf>
    <xf numFmtId="0" fontId="0" fillId="2" borderId="19" xfId="0" applyFill="1" applyBorder="1" applyAlignment="1">
      <alignment vertical="center" wrapText="1"/>
    </xf>
    <xf numFmtId="166" fontId="0" fillId="5" borderId="16" xfId="1" applyNumberFormat="1" applyFont="1" applyFill="1" applyBorder="1" applyAlignment="1">
      <alignment horizontal="center" vertical="center" wrapText="1"/>
    </xf>
    <xf numFmtId="0" fontId="0" fillId="3" borderId="62" xfId="0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164" fontId="0" fillId="4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65" fontId="0" fillId="0" borderId="35" xfId="0" applyNumberFormat="1" applyBorder="1" applyAlignment="1">
      <alignment horizontal="center"/>
    </xf>
    <xf numFmtId="44" fontId="0" fillId="4" borderId="1" xfId="0" applyNumberFormat="1" applyFill="1" applyBorder="1"/>
    <xf numFmtId="44" fontId="0" fillId="4" borderId="33" xfId="0" applyNumberFormat="1" applyFill="1" applyBorder="1"/>
    <xf numFmtId="169" fontId="0" fillId="4" borderId="1" xfId="0" applyNumberFormat="1" applyFill="1" applyBorder="1" applyAlignment="1">
      <alignment horizontal="center"/>
    </xf>
    <xf numFmtId="169" fontId="0" fillId="4" borderId="33" xfId="0" applyNumberFormat="1" applyFill="1" applyBorder="1" applyAlignment="1">
      <alignment horizontal="center"/>
    </xf>
    <xf numFmtId="165" fontId="0" fillId="0" borderId="2" xfId="0" applyNumberFormat="1" applyBorder="1" applyAlignment="1" applyProtection="1">
      <alignment horizontal="center"/>
      <protection locked="0"/>
    </xf>
    <xf numFmtId="166" fontId="0" fillId="0" borderId="1" xfId="1" applyNumberFormat="1" applyFont="1" applyBorder="1"/>
    <xf numFmtId="0" fontId="7" fillId="2" borderId="1" xfId="0" applyFont="1" applyFill="1" applyBorder="1" applyAlignment="1">
      <alignment horizontal="center"/>
    </xf>
    <xf numFmtId="168" fontId="0" fillId="4" borderId="0" xfId="0" applyNumberFormat="1" applyFill="1"/>
    <xf numFmtId="166" fontId="0" fillId="4" borderId="1" xfId="1" applyNumberFormat="1" applyFont="1" applyFill="1" applyBorder="1" applyAlignment="1" applyProtection="1">
      <alignment horizontal="center"/>
      <protection locked="0"/>
    </xf>
    <xf numFmtId="166" fontId="0" fillId="4" borderId="33" xfId="1" applyNumberFormat="1" applyFont="1" applyFill="1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44" fontId="0" fillId="0" borderId="1" xfId="2" applyFont="1" applyFill="1" applyBorder="1" applyProtection="1">
      <protection locked="0"/>
    </xf>
    <xf numFmtId="166" fontId="0" fillId="0" borderId="1" xfId="1" applyNumberFormat="1" applyFont="1" applyFill="1" applyBorder="1" applyAlignment="1" applyProtection="1">
      <alignment horizontal="center"/>
      <protection locked="0"/>
    </xf>
    <xf numFmtId="0" fontId="0" fillId="2" borderId="7" xfId="0" applyFill="1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44" fontId="0" fillId="0" borderId="33" xfId="2" applyFont="1" applyBorder="1"/>
    <xf numFmtId="0" fontId="0" fillId="0" borderId="33" xfId="0" applyBorder="1"/>
    <xf numFmtId="166" fontId="0" fillId="0" borderId="33" xfId="1" applyNumberFormat="1" applyFont="1" applyBorder="1"/>
    <xf numFmtId="0" fontId="0" fillId="0" borderId="3" xfId="0" applyBorder="1"/>
    <xf numFmtId="0" fontId="7" fillId="2" borderId="7" xfId="0" applyFont="1" applyFill="1" applyBorder="1" applyAlignment="1">
      <alignment horizontal="center"/>
    </xf>
    <xf numFmtId="166" fontId="0" fillId="0" borderId="7" xfId="1" applyNumberFormat="1" applyFont="1" applyBorder="1"/>
    <xf numFmtId="166" fontId="0" fillId="0" borderId="3" xfId="1" applyNumberFormat="1" applyFont="1" applyBorder="1"/>
    <xf numFmtId="0" fontId="0" fillId="4" borderId="21" xfId="0" applyFill="1" applyBorder="1"/>
    <xf numFmtId="0" fontId="0" fillId="0" borderId="76" xfId="0" applyBorder="1"/>
    <xf numFmtId="167" fontId="0" fillId="0" borderId="33" xfId="2" applyNumberFormat="1" applyFont="1" applyFill="1" applyBorder="1"/>
    <xf numFmtId="0" fontId="0" fillId="4" borderId="52" xfId="0" applyFill="1" applyBorder="1"/>
    <xf numFmtId="0" fontId="0" fillId="4" borderId="18" xfId="0" applyFill="1" applyBorder="1"/>
    <xf numFmtId="0" fontId="0" fillId="0" borderId="77" xfId="0" applyBorder="1"/>
    <xf numFmtId="44" fontId="0" fillId="0" borderId="78" xfId="2" applyFont="1" applyBorder="1"/>
    <xf numFmtId="0" fontId="0" fillId="0" borderId="78" xfId="0" applyBorder="1"/>
    <xf numFmtId="0" fontId="0" fillId="0" borderId="79" xfId="0" applyBorder="1"/>
    <xf numFmtId="44" fontId="0" fillId="0" borderId="24" xfId="2" applyFont="1" applyBorder="1"/>
    <xf numFmtId="166" fontId="0" fillId="0" borderId="24" xfId="1" applyNumberFormat="1" applyFont="1" applyBorder="1"/>
    <xf numFmtId="0" fontId="0" fillId="0" borderId="80" xfId="0" applyBorder="1"/>
    <xf numFmtId="44" fontId="0" fillId="0" borderId="1" xfId="0" applyNumberFormat="1" applyBorder="1"/>
    <xf numFmtId="0" fontId="0" fillId="3" borderId="64" xfId="0" applyFill="1" applyBorder="1" applyAlignment="1" applyProtection="1">
      <alignment horizontal="center"/>
      <protection locked="0"/>
    </xf>
    <xf numFmtId="0" fontId="0" fillId="3" borderId="66" xfId="0" applyFill="1" applyBorder="1" applyAlignment="1" applyProtection="1">
      <alignment horizontal="center"/>
      <protection locked="0"/>
    </xf>
    <xf numFmtId="0" fontId="0" fillId="3" borderId="75" xfId="0" applyFill="1" applyBorder="1" applyAlignment="1" applyProtection="1">
      <alignment horizontal="center"/>
      <protection locked="0"/>
    </xf>
    <xf numFmtId="164" fontId="0" fillId="3" borderId="75" xfId="0" applyNumberFormat="1" applyFill="1" applyBorder="1" applyAlignment="1" applyProtection="1">
      <alignment horizontal="center"/>
      <protection locked="0"/>
    </xf>
    <xf numFmtId="0" fontId="0" fillId="3" borderId="39" xfId="0" applyFill="1" applyBorder="1" applyAlignment="1" applyProtection="1">
      <alignment horizontal="center"/>
      <protection locked="0"/>
    </xf>
    <xf numFmtId="0" fontId="0" fillId="2" borderId="7" xfId="0" applyFill="1" applyBorder="1" applyAlignment="1">
      <alignment vertical="center"/>
    </xf>
    <xf numFmtId="0" fontId="0" fillId="0" borderId="6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29" xfId="0" applyBorder="1" applyAlignment="1">
      <alignment horizontal="center" wrapText="1"/>
    </xf>
    <xf numFmtId="0" fontId="4" fillId="0" borderId="6" xfId="0" applyFont="1" applyBorder="1" applyAlignment="1">
      <alignment horizontal="center"/>
    </xf>
    <xf numFmtId="165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6" fontId="0" fillId="0" borderId="7" xfId="1" applyNumberFormat="1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4" fontId="0" fillId="0" borderId="31" xfId="0" applyNumberFormat="1" applyBorder="1" applyAlignment="1">
      <alignment horizontal="center" vertical="center"/>
    </xf>
    <xf numFmtId="44" fontId="0" fillId="0" borderId="7" xfId="0" applyNumberForma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0" fontId="4" fillId="12" borderId="81" xfId="0" applyFont="1" applyFill="1" applyBorder="1" applyAlignment="1">
      <alignment horizontal="center" vertical="center"/>
    </xf>
    <xf numFmtId="1" fontId="0" fillId="3" borderId="7" xfId="0" applyNumberFormat="1" applyFill="1" applyBorder="1" applyAlignment="1" applyProtection="1">
      <alignment horizontal="center" vertical="center"/>
      <protection locked="0"/>
    </xf>
    <xf numFmtId="44" fontId="0" fillId="3" borderId="7" xfId="2" applyFont="1" applyFill="1" applyBorder="1" applyAlignment="1" applyProtection="1">
      <alignment horizontal="center" vertical="center"/>
      <protection locked="0"/>
    </xf>
    <xf numFmtId="0" fontId="0" fillId="3" borderId="7" xfId="2" applyNumberFormat="1" applyFont="1" applyFill="1" applyBorder="1" applyAlignment="1" applyProtection="1">
      <alignment horizontal="center" vertical="center"/>
      <protection locked="0"/>
    </xf>
    <xf numFmtId="9" fontId="0" fillId="0" borderId="3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2" borderId="51" xfId="0" applyFill="1" applyBorder="1" applyAlignment="1">
      <alignment vertical="center" wrapText="1"/>
    </xf>
    <xf numFmtId="0" fontId="0" fillId="0" borderId="51" xfId="0" applyBorder="1" applyAlignment="1">
      <alignment vertical="center" wrapText="1"/>
    </xf>
    <xf numFmtId="164" fontId="0" fillId="0" borderId="18" xfId="0" applyNumberFormat="1" applyBorder="1" applyAlignment="1">
      <alignment horizontal="center" vertical="center" wrapText="1"/>
    </xf>
    <xf numFmtId="0" fontId="0" fillId="0" borderId="18" xfId="0" applyBorder="1" applyAlignment="1">
      <alignment vertical="center" wrapText="1"/>
    </xf>
    <xf numFmtId="0" fontId="0" fillId="11" borderId="72" xfId="0" applyFill="1" applyBorder="1" applyAlignment="1">
      <alignment horizontal="center" vertical="center"/>
    </xf>
    <xf numFmtId="0" fontId="0" fillId="11" borderId="73" xfId="0" applyFill="1" applyBorder="1" applyAlignment="1">
      <alignment horizontal="center" vertical="center"/>
    </xf>
    <xf numFmtId="0" fontId="0" fillId="11" borderId="74" xfId="0" applyFill="1" applyBorder="1" applyAlignment="1">
      <alignment horizontal="center" vertical="center"/>
    </xf>
    <xf numFmtId="0" fontId="0" fillId="10" borderId="68" xfId="0" applyFill="1" applyBorder="1" applyAlignment="1">
      <alignment horizontal="center" vertical="center" wrapText="1"/>
    </xf>
    <xf numFmtId="0" fontId="0" fillId="10" borderId="69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11" borderId="24" xfId="0" applyFill="1" applyBorder="1" applyAlignment="1">
      <alignment horizontal="center"/>
    </xf>
    <xf numFmtId="0" fontId="0" fillId="2" borderId="53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0" fillId="2" borderId="5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4" borderId="31" xfId="0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4" fillId="6" borderId="45" xfId="0" applyFont="1" applyFill="1" applyBorder="1" applyAlignment="1">
      <alignment horizontal="left" vertical="center" wrapText="1"/>
    </xf>
    <xf numFmtId="0" fontId="4" fillId="6" borderId="46" xfId="0" applyFont="1" applyFill="1" applyBorder="1" applyAlignment="1">
      <alignment horizontal="left" vertical="center" wrapText="1"/>
    </xf>
    <xf numFmtId="0" fontId="4" fillId="6" borderId="47" xfId="0" applyFont="1" applyFill="1" applyBorder="1" applyAlignment="1">
      <alignment horizontal="left" vertical="center" wrapText="1"/>
    </xf>
    <xf numFmtId="0" fontId="4" fillId="6" borderId="48" xfId="0" applyFont="1" applyFill="1" applyBorder="1" applyAlignment="1">
      <alignment horizontal="left" vertical="center" wrapText="1"/>
    </xf>
    <xf numFmtId="0" fontId="4" fillId="6" borderId="49" xfId="0" applyFont="1" applyFill="1" applyBorder="1" applyAlignment="1">
      <alignment horizontal="left" vertical="center" wrapText="1"/>
    </xf>
    <xf numFmtId="0" fontId="4" fillId="6" borderId="50" xfId="0" applyFont="1" applyFill="1" applyBorder="1" applyAlignment="1">
      <alignment horizontal="left" vertical="center" wrapText="1"/>
    </xf>
    <xf numFmtId="0" fontId="0" fillId="7" borderId="15" xfId="0" applyFill="1" applyBorder="1" applyAlignment="1">
      <alignment horizontal="left" vertical="center" wrapText="1"/>
    </xf>
    <xf numFmtId="0" fontId="0" fillId="7" borderId="51" xfId="0" applyFill="1" applyBorder="1" applyAlignment="1">
      <alignment horizontal="left" vertical="center" wrapText="1"/>
    </xf>
    <xf numFmtId="0" fontId="0" fillId="7" borderId="16" xfId="0" applyFill="1" applyBorder="1" applyAlignment="1">
      <alignment horizontal="left" vertical="center" wrapText="1"/>
    </xf>
    <xf numFmtId="0" fontId="0" fillId="7" borderId="17" xfId="0" applyFill="1" applyBorder="1" applyAlignment="1">
      <alignment horizontal="left" vertical="center" wrapText="1"/>
    </xf>
    <xf numFmtId="0" fontId="0" fillId="7" borderId="52" xfId="0" applyFill="1" applyBorder="1" applyAlignment="1">
      <alignment horizontal="left" vertical="center" wrapText="1"/>
    </xf>
    <xf numFmtId="0" fontId="0" fillId="7" borderId="18" xfId="0" applyFill="1" applyBorder="1" applyAlignment="1">
      <alignment horizontal="left" vertical="center" wrapText="1"/>
    </xf>
    <xf numFmtId="0" fontId="4" fillId="6" borderId="45" xfId="0" applyFont="1" applyFill="1" applyBorder="1" applyAlignment="1">
      <alignment wrapText="1"/>
    </xf>
    <xf numFmtId="0" fontId="4" fillId="6" borderId="46" xfId="0" applyFont="1" applyFill="1" applyBorder="1" applyAlignment="1">
      <alignment wrapText="1"/>
    </xf>
    <xf numFmtId="0" fontId="4" fillId="6" borderId="47" xfId="0" applyFont="1" applyFill="1" applyBorder="1" applyAlignment="1">
      <alignment wrapText="1"/>
    </xf>
    <xf numFmtId="0" fontId="4" fillId="6" borderId="48" xfId="0" applyFont="1" applyFill="1" applyBorder="1" applyAlignment="1">
      <alignment wrapText="1"/>
    </xf>
    <xf numFmtId="0" fontId="4" fillId="6" borderId="49" xfId="0" applyFont="1" applyFill="1" applyBorder="1" applyAlignment="1">
      <alignment wrapText="1"/>
    </xf>
    <xf numFmtId="0" fontId="4" fillId="6" borderId="50" xfId="0" applyFont="1" applyFill="1" applyBorder="1" applyAlignment="1">
      <alignment wrapText="1"/>
    </xf>
    <xf numFmtId="0" fontId="0" fillId="4" borderId="25" xfId="0" applyFill="1" applyBorder="1" applyAlignment="1">
      <alignment horizontal="center" wrapText="1"/>
    </xf>
    <xf numFmtId="0" fontId="0" fillId="4" borderId="26" xfId="0" applyFill="1" applyBorder="1" applyAlignment="1">
      <alignment horizontal="center" wrapText="1"/>
    </xf>
    <xf numFmtId="0" fontId="0" fillId="4" borderId="27" xfId="0" applyFill="1" applyBorder="1" applyAlignment="1">
      <alignment horizontal="center" wrapText="1"/>
    </xf>
    <xf numFmtId="0" fontId="0" fillId="4" borderId="38" xfId="0" applyFill="1" applyBorder="1" applyAlignment="1">
      <alignment horizontal="center" wrapText="1"/>
    </xf>
    <xf numFmtId="0" fontId="0" fillId="2" borderId="39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10" xfId="0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53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8" fillId="2" borderId="29" xfId="0" applyFont="1" applyFill="1" applyBorder="1" applyAlignment="1">
      <alignment horizontal="center"/>
    </xf>
    <xf numFmtId="0" fontId="8" fillId="2" borderId="31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4">
    <cellStyle name="Currency" xfId="2" builtinId="4"/>
    <cellStyle name="Hyperlink" xfId="3" builtinId="8"/>
    <cellStyle name="Normal" xfId="0" builtinId="0"/>
    <cellStyle name="Percent" xfId="1" builtinId="5"/>
  </cellStyles>
  <dxfs count="2">
    <dxf>
      <fill>
        <patternFill>
          <bgColor rgb="FFFF8585"/>
        </patternFill>
      </fill>
    </dxf>
    <dxf>
      <fill>
        <patternFill>
          <bgColor rgb="FFFF8585"/>
        </patternFill>
      </fill>
    </dxf>
  </dxfs>
  <tableStyles count="0" defaultTableStyle="TableStyleMedium2" defaultPivotStyle="PivotStyleLight16"/>
  <colors>
    <mruColors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 /><Relationship Id="rId3" Type="http://schemas.openxmlformats.org/officeDocument/2006/relationships/worksheet" Target="worksheets/sheet3.xml" /><Relationship Id="rId7" Type="http://schemas.openxmlformats.org/officeDocument/2006/relationships/theme" Target="theme/theme1.xml" /><Relationship Id="rId12" Type="http://schemas.microsoft.com/office/2006/relationships/vbaProject" Target="vbaProject.bin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calcChain" Target="calcChain.xml" /><Relationship Id="rId5" Type="http://schemas.openxmlformats.org/officeDocument/2006/relationships/worksheet" Target="worksheets/sheet5.xml" /><Relationship Id="rId10" Type="http://schemas.microsoft.com/office/2017/10/relationships/person" Target="persons/person.xml" /><Relationship Id="rId4" Type="http://schemas.openxmlformats.org/officeDocument/2006/relationships/worksheet" Target="worksheets/sheet4.xml" /><Relationship Id="rId9" Type="http://schemas.openxmlformats.org/officeDocument/2006/relationships/sharedStrings" Target="sharedStrings.xml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 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 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 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26255596291725E-2"/>
          <c:y val="4.6733001658374795E-2"/>
          <c:w val="0.88161560836462527"/>
          <c:h val="0.62929500224685653"/>
        </c:manualLayout>
      </c:layout>
      <c:scatterChart>
        <c:scatterStyle val="lineMarker"/>
        <c:varyColors val="0"/>
        <c:ser>
          <c:idx val="0"/>
          <c:order val="0"/>
          <c:tx>
            <c:strRef>
              <c:f>'Starter Vol Solver'!$A$3:$B$3</c:f>
              <c:strCache>
                <c:ptCount val="2"/>
                <c:pt idx="0">
                  <c:v>Yeast Cells, 100 billions</c:v>
                </c:pt>
                <c:pt idx="1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7451420029895368"/>
                  <c:y val="-7.5198689335807548E-2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multiLvlStrRef>
              <c:f>'Starter Vol Solver'!$C$1:$L$2</c:f>
              <c:multiLvlStrCache>
                <c:ptCount val="1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  <c:lvl>
                  <c:pt idx="0">
                    <c:v>Starter Vol in Liters</c:v>
                  </c:pt>
                </c:lvl>
              </c:multiLvlStrCache>
            </c:multiLvlStrRef>
          </c:xVal>
          <c:yVal>
            <c:numRef>
              <c:f>'Starter Vol Solver'!$C$3:$L$3</c:f>
              <c:numCache>
                <c:formatCode>0.0</c:formatCode>
                <c:ptCount val="10"/>
                <c:pt idx="0">
                  <c:v>2.5299999999999998</c:v>
                </c:pt>
                <c:pt idx="1">
                  <c:v>3.11</c:v>
                </c:pt>
                <c:pt idx="2">
                  <c:v>3.54</c:v>
                </c:pt>
                <c:pt idx="3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92-4075-AC05-BD043D363F16}"/>
            </c:ext>
          </c:extLst>
        </c:ser>
        <c:ser>
          <c:idx val="1"/>
          <c:order val="1"/>
          <c:tx>
            <c:strRef>
              <c:f>'Starter Vol Solver'!$A$4:$B$4</c:f>
              <c:strCache>
                <c:ptCount val="2"/>
                <c:pt idx="0">
                  <c:v>Yeast Cells, 100 billions</c:v>
                </c:pt>
                <c:pt idx="1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5.478325859491779E-2"/>
                  <c:y val="1.406523229182339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multiLvlStrRef>
              <c:f>'Starter Vol Solver'!$C$1:$L$2</c:f>
              <c:multiLvlStrCache>
                <c:ptCount val="1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  <c:lvl>
                  <c:pt idx="0">
                    <c:v>Starter Vol in Liters</c:v>
                  </c:pt>
                </c:lvl>
              </c:multiLvlStrCache>
            </c:multiLvlStrRef>
          </c:xVal>
          <c:yVal>
            <c:numRef>
              <c:f>'Starter Vol Solver'!$C$4:$L$4</c:f>
              <c:numCache>
                <c:formatCode>0.0</c:formatCode>
                <c:ptCount val="10"/>
                <c:pt idx="0">
                  <c:v>2.12</c:v>
                </c:pt>
                <c:pt idx="1">
                  <c:v>2.5299999999999998</c:v>
                </c:pt>
                <c:pt idx="2">
                  <c:v>2.85</c:v>
                </c:pt>
                <c:pt idx="3">
                  <c:v>3.11</c:v>
                </c:pt>
                <c:pt idx="4">
                  <c:v>3.34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92-4075-AC05-BD043D363F16}"/>
            </c:ext>
          </c:extLst>
        </c:ser>
        <c:ser>
          <c:idx val="3"/>
          <c:order val="3"/>
          <c:tx>
            <c:strRef>
              <c:f>'Starter Vol Solver'!$A$6:$B$6</c:f>
              <c:strCache>
                <c:ptCount val="2"/>
                <c:pt idx="0">
                  <c:v>Yeast Cells, 100 billions</c:v>
                </c:pt>
                <c:pt idx="1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5627802690582957"/>
                  <c:y val="0.385092866576391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multiLvlStrRef>
              <c:f>'Starter Vol Solver'!$C$1:$L$2</c:f>
              <c:multiLvlStrCache>
                <c:ptCount val="1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  <c:lvl>
                  <c:pt idx="0">
                    <c:v>Starter Vol in Liters</c:v>
                  </c:pt>
                </c:lvl>
              </c:multiLvlStrCache>
            </c:multiLvlStrRef>
          </c:xVal>
          <c:yVal>
            <c:numRef>
              <c:f>'Starter Vol Solver'!$C$6:$L$6</c:f>
              <c:numCache>
                <c:formatCode>0.0</c:formatCode>
                <c:ptCount val="10"/>
                <c:pt idx="2">
                  <c:v>2.35</c:v>
                </c:pt>
                <c:pt idx="3">
                  <c:v>2.5299999999999998</c:v>
                </c:pt>
                <c:pt idx="4">
                  <c:v>2.698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E92-4075-AC05-BD043D363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1040"/>
        <c:axId val="181619521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'Starter Vol Solver'!$A$5:$B$5</c15:sqref>
                        </c15:formulaRef>
                      </c:ext>
                    </c:extLst>
                    <c:strCache>
                      <c:ptCount val="2"/>
                      <c:pt idx="0">
                        <c:v>Yeast Cells, 100 billions</c:v>
                      </c:pt>
                      <c:pt idx="1">
                        <c:v>3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multiLvlStrRef>
                    <c:extLst>
                      <c:ext uri="{02D57815-91ED-43cb-92C2-25804820EDAC}">
                        <c15:formulaRef>
                          <c15:sqref>'Starter Vol Solver'!$C$1:$L$2</c15:sqref>
                        </c15:formulaRef>
                      </c:ext>
                    </c:extLst>
                    <c:multiLvlStrCache>
                      <c:ptCount val="10"/>
                      <c:lvl>
                        <c:pt idx="0">
                          <c:v>1</c:v>
                        </c:pt>
                        <c:pt idx="1">
                          <c:v>2</c:v>
                        </c:pt>
                        <c:pt idx="2">
                          <c:v>3</c:v>
                        </c:pt>
                        <c:pt idx="3">
                          <c:v>4</c:v>
                        </c:pt>
                        <c:pt idx="4">
                          <c:v>5</c:v>
                        </c:pt>
                        <c:pt idx="5">
                          <c:v>6</c:v>
                        </c:pt>
                        <c:pt idx="6">
                          <c:v>7</c:v>
                        </c:pt>
                        <c:pt idx="7">
                          <c:v>8</c:v>
                        </c:pt>
                        <c:pt idx="8">
                          <c:v>9</c:v>
                        </c:pt>
                        <c:pt idx="9">
                          <c:v>10</c:v>
                        </c:pt>
                      </c:lvl>
                      <c:lvl>
                        <c:pt idx="0">
                          <c:v>Starter Vol in Liters</c:v>
                        </c:pt>
                      </c:lvl>
                    </c:multiLvlStrCache>
                  </c:multiLvlStrRef>
                </c:xVal>
                <c:yVal>
                  <c:numRef>
                    <c:extLst>
                      <c:ext uri="{02D57815-91ED-43cb-92C2-25804820EDAC}">
                        <c15:formulaRef>
                          <c15:sqref>'Starter Vol Solver'!$C$5:$L$5</c15:sqref>
                        </c15:formulaRef>
                      </c:ext>
                    </c:extLst>
                    <c:numCache>
                      <c:formatCode>0.0</c:formatCode>
                      <c:ptCount val="1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1E92-4075-AC05-BD043D363F1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'Starter Vol Solver'!$A$7:$B$7</c15:sqref>
                        </c15:formulaRef>
                      </c:ext>
                    </c:extLst>
                    <c:strCache>
                      <c:ptCount val="2"/>
                      <c:pt idx="0">
                        <c:v>Yeast Cells, 100 billions</c:v>
                      </c:pt>
                      <c:pt idx="1">
                        <c:v>5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'Starter Vol Solver'!$C$1:$L$2</c15:sqref>
                        </c15:formulaRef>
                      </c:ext>
                    </c:extLst>
                    <c:multiLvlStrCache>
                      <c:ptCount val="10"/>
                      <c:lvl>
                        <c:pt idx="0">
                          <c:v>1</c:v>
                        </c:pt>
                        <c:pt idx="1">
                          <c:v>2</c:v>
                        </c:pt>
                        <c:pt idx="2">
                          <c:v>3</c:v>
                        </c:pt>
                        <c:pt idx="3">
                          <c:v>4</c:v>
                        </c:pt>
                        <c:pt idx="4">
                          <c:v>5</c:v>
                        </c:pt>
                        <c:pt idx="5">
                          <c:v>6</c:v>
                        </c:pt>
                        <c:pt idx="6">
                          <c:v>7</c:v>
                        </c:pt>
                        <c:pt idx="7">
                          <c:v>8</c:v>
                        </c:pt>
                        <c:pt idx="8">
                          <c:v>9</c:v>
                        </c:pt>
                        <c:pt idx="9">
                          <c:v>10</c:v>
                        </c:pt>
                      </c:lvl>
                      <c:lvl>
                        <c:pt idx="0">
                          <c:v>Starter Vol in Liters</c:v>
                        </c:pt>
                      </c:lvl>
                    </c:multiLvlStrCache>
                  </c:multiLvl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'Starter Vol Solver'!$C$7:$L$7</c15:sqref>
                        </c15:formulaRef>
                      </c:ext>
                    </c:extLst>
                    <c:numCache>
                      <c:formatCode>0.0</c:formatCode>
                      <c:ptCount val="1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E92-4075-AC05-BD043D363F16}"/>
                  </c:ext>
                </c:extLst>
              </c15:ser>
            </c15:filteredScatterSeries>
          </c:ext>
        </c:extLst>
      </c:scatterChart>
      <c:valAx>
        <c:axId val="1816201040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 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5216"/>
        <c:crosses val="autoZero"/>
        <c:crossBetween val="midCat"/>
      </c:valAx>
      <c:valAx>
        <c:axId val="181619521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Multiple of</a:t>
                </a:r>
                <a:r>
                  <a:rPr lang="en-US" baseline="0"/>
                  <a:t> growth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85995733058734"/>
          <c:y val="0.8186079793460932"/>
          <c:w val="0.82225955549242924"/>
          <c:h val="0.161491454789525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Hops!$M$8</c:f>
              <c:strCache>
                <c:ptCount val="1"/>
                <c:pt idx="0">
                  <c:v>Temp Factor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6515142307229006E-2"/>
                  <c:y val="-4.9593857762365759E-2"/>
                </c:manualLayout>
              </c:layout>
              <c:numFmt formatCode="#,##0.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Hops!$N$10:$N$12</c:f>
              <c:numCache>
                <c:formatCode>General</c:formatCode>
                <c:ptCount val="3"/>
                <c:pt idx="0">
                  <c:v>212</c:v>
                </c:pt>
                <c:pt idx="1">
                  <c:v>194</c:v>
                </c:pt>
                <c:pt idx="2">
                  <c:v>176</c:v>
                </c:pt>
              </c:numCache>
            </c:numRef>
          </c:xVal>
          <c:yVal>
            <c:numRef>
              <c:f>Hops!$O$10:$O$12</c:f>
              <c:numCache>
                <c:formatCode>0%</c:formatCode>
                <c:ptCount val="3"/>
                <c:pt idx="0">
                  <c:v>1</c:v>
                </c:pt>
                <c:pt idx="1">
                  <c:v>0.5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6-4399-A5EB-DE721001E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110095"/>
        <c:axId val="1785115503"/>
      </c:scatterChart>
      <c:valAx>
        <c:axId val="1785110095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5115503"/>
        <c:crosses val="autoZero"/>
        <c:crossBetween val="midCat"/>
      </c:valAx>
      <c:valAx>
        <c:axId val="1785115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5110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 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 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 /><Relationship Id="rId2" Type="http://schemas.openxmlformats.org/officeDocument/2006/relationships/image" Target="../media/image2.emf" /><Relationship Id="rId1" Type="http://schemas.openxmlformats.org/officeDocument/2006/relationships/image" Target="../media/image1.emf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7</xdr:row>
      <xdr:rowOff>49530</xdr:rowOff>
    </xdr:from>
    <xdr:to>
      <xdr:col>8</xdr:col>
      <xdr:colOff>449580</xdr:colOff>
      <xdr:row>26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220980</xdr:colOff>
          <xdr:row>5</xdr:row>
          <xdr:rowOff>7620</xdr:rowOff>
        </xdr:from>
        <xdr:to>
          <xdr:col>19</xdr:col>
          <xdr:colOff>441960</xdr:colOff>
          <xdr:row>6</xdr:row>
          <xdr:rowOff>106680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236220</xdr:colOff>
          <xdr:row>8</xdr:row>
          <xdr:rowOff>60960</xdr:rowOff>
        </xdr:from>
        <xdr:to>
          <xdr:col>19</xdr:col>
          <xdr:colOff>449580</xdr:colOff>
          <xdr:row>9</xdr:row>
          <xdr:rowOff>175260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1</xdr:row>
          <xdr:rowOff>38100</xdr:rowOff>
        </xdr:from>
        <xdr:to>
          <xdr:col>19</xdr:col>
          <xdr:colOff>381000</xdr:colOff>
          <xdr:row>2</xdr:row>
          <xdr:rowOff>175260</xdr:rowOff>
        </xdr:to>
        <xdr:sp macro="" textlink="">
          <xdr:nvSpPr>
            <xdr:cNvPr id="6148" name="CommandButton3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23812</xdr:colOff>
      <xdr:row>6</xdr:row>
      <xdr:rowOff>157162</xdr:rowOff>
    </xdr:from>
    <xdr:to>
      <xdr:col>19</xdr:col>
      <xdr:colOff>419100</xdr:colOff>
      <xdr:row>17</xdr:row>
      <xdr:rowOff>95250</xdr:rowOff>
    </xdr:to>
    <xdr:graphicFrame macro="">
      <xdr:nvGraphicFramePr>
        <xdr:cNvPr id="24" name="Chart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chael Persyn" id="{E5CDAD2E-BF6C-4AA1-8AA2-B7605A34EF87}" userId="d9199dd3df9fd912" providerId="Windows Live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2" dT="2022-11-20T17:20:08.10" personId="{E5CDAD2E-BF6C-4AA1-8AA2-B7605A34EF87}" id="{9013922E-2481-4C60-BBD8-E138BA83D6B4}">
    <text>From Brewer's Friend website
https://www.brewersfriend.com/plato-to-sg-conversion-chart/#</text>
  </threadedComment>
  <threadedComment ref="I4" dT="2022-10-07T14:57:50.04" personId="{E5CDAD2E-BF6C-4AA1-8AA2-B7605A34EF87}" id="{070ECACD-DBB0-49D1-A2D1-BCD03F706FBE}">
    <text>Eq. from How to Brew pg. 470</text>
  </threadedComment>
  <threadedComment ref="I10" dT="2022-10-07T15:05:27.51" personId="{E5CDAD2E-BF6C-4AA1-8AA2-B7605A34EF87}" id="{A44E245E-173C-482C-8824-3D2DD30C71CA}">
    <text>Eq. from How to Brew pg. 469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2" dT="2022-10-07T14:49:10.86" personId="{E5CDAD2E-BF6C-4AA1-8AA2-B7605A34EF87}" id="{2F7ABE22-D131-4D30-87DD-326A036A16DA}">
    <text xml:space="preserve">Eq. from How To Brew pg. 80 </text>
  </threadedComment>
  <threadedComment ref="J2" dT="2022-10-07T14:45:40.12" personId="{E5CDAD2E-BF6C-4AA1-8AA2-B7605A34EF87}" id="{2C64D7F3-B063-47F1-BC45-2BB6A0ED5728}">
    <text xml:space="preserve">Eq. from How to Brew pg. 77 </text>
  </threadedComment>
  <threadedComment ref="M8" dT="2022-10-07T14:53:53.13" personId="{E5CDAD2E-BF6C-4AA1-8AA2-B7605A34EF87}" id="{B9C30317-1EBA-4DE5-B327-18F1CFF5455B}">
    <text xml:space="preserve">Developed from Zymurgy May/June 2022 pg. 59. 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 /><Relationship Id="rId2" Type="http://schemas.openxmlformats.org/officeDocument/2006/relationships/vmlDrawing" Target="../drawings/vmlDrawing1.vml" /><Relationship Id="rId1" Type="http://schemas.openxmlformats.org/officeDocument/2006/relationships/printerSettings" Target="../printerSettings/printerSettings2.bin" /><Relationship Id="rId4" Type="http://schemas.microsoft.com/office/2017/10/relationships/threadedComment" Target="../threadedComments/threadedComment1.xml" 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 /><Relationship Id="rId3" Type="http://schemas.openxmlformats.org/officeDocument/2006/relationships/drawing" Target="../drawings/drawing1.xml" /><Relationship Id="rId7" Type="http://schemas.openxmlformats.org/officeDocument/2006/relationships/control" Target="../activeX/activeX2.xml" /><Relationship Id="rId2" Type="http://schemas.openxmlformats.org/officeDocument/2006/relationships/printerSettings" Target="../printerSettings/printerSettings3.bin" /><Relationship Id="rId1" Type="http://schemas.openxmlformats.org/officeDocument/2006/relationships/hyperlink" Target="https://www.morebeer.com/content/yeast_pitch_calculator" TargetMode="External" /><Relationship Id="rId6" Type="http://schemas.openxmlformats.org/officeDocument/2006/relationships/image" Target="../media/image1.emf" /><Relationship Id="rId5" Type="http://schemas.openxmlformats.org/officeDocument/2006/relationships/control" Target="../activeX/activeX1.xml" /><Relationship Id="rId10" Type="http://schemas.openxmlformats.org/officeDocument/2006/relationships/image" Target="../media/image3.emf" /><Relationship Id="rId4" Type="http://schemas.openxmlformats.org/officeDocument/2006/relationships/vmlDrawing" Target="../drawings/vmlDrawing2.vml" /><Relationship Id="rId9" Type="http://schemas.openxmlformats.org/officeDocument/2006/relationships/control" Target="../activeX/activeX3.xml" 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 /><Relationship Id="rId2" Type="http://schemas.openxmlformats.org/officeDocument/2006/relationships/drawing" Target="../drawings/drawing2.xml" /><Relationship Id="rId1" Type="http://schemas.openxmlformats.org/officeDocument/2006/relationships/printerSettings" Target="../printerSettings/printerSettings4.bin" /><Relationship Id="rId5" Type="http://schemas.microsoft.com/office/2017/10/relationships/threadedComment" Target="../threadedComments/threadedComment2.xml" /><Relationship Id="rId4" Type="http://schemas.openxmlformats.org/officeDocument/2006/relationships/comments" Target="../comments2.xml" 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B65B-BC01-498A-BCA2-26FF8A0F46D9}">
  <sheetPr codeName="Sheet2"/>
  <dimension ref="A1:G55"/>
  <sheetViews>
    <sheetView topLeftCell="A21" workbookViewId="0">
      <selection activeCell="D37" sqref="D37"/>
    </sheetView>
  </sheetViews>
  <sheetFormatPr defaultRowHeight="15" x14ac:dyDescent="0.2"/>
  <cols>
    <col min="1" max="1" width="27.3046875" customWidth="1"/>
    <col min="2" max="2" width="11.43359375" style="13" customWidth="1"/>
    <col min="3" max="3" width="18.0234375" customWidth="1"/>
    <col min="4" max="4" width="9.68359375" bestFit="1" customWidth="1"/>
    <col min="5" max="5" width="13.44921875" bestFit="1" customWidth="1"/>
    <col min="6" max="6" width="9.68359375" bestFit="1" customWidth="1"/>
  </cols>
  <sheetData>
    <row r="1" spans="1:7" ht="15.75" thickBot="1" x14ac:dyDescent="0.25">
      <c r="A1" s="219" t="s">
        <v>0</v>
      </c>
      <c r="B1" s="219"/>
      <c r="C1" s="219"/>
      <c r="D1" s="219"/>
      <c r="E1" s="219"/>
      <c r="F1" s="219"/>
      <c r="G1" s="219"/>
    </row>
    <row r="2" spans="1:7" x14ac:dyDescent="0.2">
      <c r="A2" s="220" t="s">
        <v>1</v>
      </c>
      <c r="B2" s="221"/>
      <c r="C2" s="221"/>
      <c r="D2" s="221"/>
      <c r="E2" s="221"/>
      <c r="F2" s="221"/>
      <c r="G2" s="222"/>
    </row>
    <row r="3" spans="1:7" x14ac:dyDescent="0.2">
      <c r="A3" s="95" t="s">
        <v>2</v>
      </c>
      <c r="B3" s="37" t="s">
        <v>3</v>
      </c>
      <c r="C3" s="37" t="s">
        <v>4</v>
      </c>
      <c r="D3" s="37" t="s">
        <v>5</v>
      </c>
      <c r="E3" s="37" t="s">
        <v>6</v>
      </c>
      <c r="F3" s="37" t="s">
        <v>7</v>
      </c>
      <c r="G3" s="154" t="s">
        <v>8</v>
      </c>
    </row>
    <row r="4" spans="1:7" x14ac:dyDescent="0.2">
      <c r="A4" s="155" t="s">
        <v>9</v>
      </c>
      <c r="B4" s="6">
        <v>64.989999999999995</v>
      </c>
      <c r="C4" s="5" t="s">
        <v>10</v>
      </c>
      <c r="D4" s="6">
        <f>B4/55</f>
        <v>1.1816363636363636</v>
      </c>
      <c r="E4" s="5" t="s">
        <v>11</v>
      </c>
      <c r="F4" s="146">
        <v>0.82</v>
      </c>
      <c r="G4" s="156">
        <v>2.2000000000000002</v>
      </c>
    </row>
    <row r="5" spans="1:7" x14ac:dyDescent="0.2">
      <c r="A5" s="155" t="s">
        <v>12</v>
      </c>
      <c r="B5" s="6">
        <v>2.4900000000000002</v>
      </c>
      <c r="C5" s="5" t="s">
        <v>13</v>
      </c>
      <c r="D5" s="177">
        <f>B5</f>
        <v>2.4900000000000002</v>
      </c>
      <c r="E5" s="5" t="s">
        <v>11</v>
      </c>
      <c r="F5" s="146">
        <v>0.75</v>
      </c>
      <c r="G5" s="156">
        <v>120</v>
      </c>
    </row>
    <row r="6" spans="1:7" x14ac:dyDescent="0.2">
      <c r="A6" s="155" t="s">
        <v>14</v>
      </c>
      <c r="B6" s="6">
        <v>2.4900000000000002</v>
      </c>
      <c r="C6" s="5" t="s">
        <v>13</v>
      </c>
      <c r="D6" s="6">
        <f>B6</f>
        <v>2.4900000000000002</v>
      </c>
      <c r="E6" s="5" t="s">
        <v>11</v>
      </c>
      <c r="F6" s="146">
        <v>0.77</v>
      </c>
      <c r="G6" s="156">
        <v>40</v>
      </c>
    </row>
    <row r="7" spans="1:7" x14ac:dyDescent="0.2">
      <c r="A7" s="155" t="s">
        <v>15</v>
      </c>
      <c r="B7" s="6">
        <v>2.4900000000000002</v>
      </c>
      <c r="C7" s="5" t="s">
        <v>13</v>
      </c>
      <c r="D7" s="6">
        <f>B7</f>
        <v>2.4900000000000002</v>
      </c>
      <c r="E7" s="5" t="s">
        <v>11</v>
      </c>
      <c r="F7" s="146">
        <v>0.76</v>
      </c>
      <c r="G7" s="156">
        <v>60</v>
      </c>
    </row>
    <row r="8" spans="1:7" x14ac:dyDescent="0.2">
      <c r="A8" s="155" t="s">
        <v>16</v>
      </c>
      <c r="B8" s="6">
        <v>55</v>
      </c>
      <c r="C8" s="5" t="s">
        <v>17</v>
      </c>
      <c r="D8" s="6">
        <f>B8/50</f>
        <v>1.1000000000000001</v>
      </c>
      <c r="E8" s="5" t="s">
        <v>11</v>
      </c>
      <c r="F8" s="146">
        <v>0.78</v>
      </c>
      <c r="G8" s="156">
        <v>10</v>
      </c>
    </row>
    <row r="9" spans="1:7" x14ac:dyDescent="0.2">
      <c r="A9" s="155" t="s">
        <v>18</v>
      </c>
      <c r="B9" s="6">
        <v>2.99</v>
      </c>
      <c r="C9" s="5" t="s">
        <v>13</v>
      </c>
      <c r="D9" s="6">
        <f>B9</f>
        <v>2.99</v>
      </c>
      <c r="E9" s="5" t="s">
        <v>11</v>
      </c>
      <c r="F9" s="146">
        <v>0.8</v>
      </c>
      <c r="G9" s="156">
        <v>2</v>
      </c>
    </row>
    <row r="10" spans="1:7" x14ac:dyDescent="0.2">
      <c r="A10" s="155" t="s">
        <v>19</v>
      </c>
      <c r="B10" s="6">
        <v>2.99</v>
      </c>
      <c r="C10" s="5" t="s">
        <v>13</v>
      </c>
      <c r="D10" s="6">
        <f>B10</f>
        <v>2.99</v>
      </c>
      <c r="E10" s="5" t="s">
        <v>11</v>
      </c>
      <c r="F10" s="146">
        <v>0.71</v>
      </c>
      <c r="G10" s="156">
        <v>15</v>
      </c>
    </row>
    <row r="11" spans="1:7" x14ac:dyDescent="0.2">
      <c r="A11" s="155" t="s">
        <v>20</v>
      </c>
      <c r="B11" s="6">
        <v>2.99</v>
      </c>
      <c r="C11" s="5" t="s">
        <v>13</v>
      </c>
      <c r="D11" s="6">
        <f>B11</f>
        <v>2.99</v>
      </c>
      <c r="E11" s="5" t="s">
        <v>11</v>
      </c>
      <c r="F11" s="146">
        <v>0.65</v>
      </c>
      <c r="G11" s="156">
        <v>170</v>
      </c>
    </row>
    <row r="12" spans="1:7" x14ac:dyDescent="0.2">
      <c r="A12" s="155" t="s">
        <v>21</v>
      </c>
      <c r="B12" s="6">
        <v>1.99</v>
      </c>
      <c r="C12" s="5" t="s">
        <v>13</v>
      </c>
      <c r="D12" s="6">
        <f>B12</f>
        <v>1.99</v>
      </c>
      <c r="E12" s="5" t="s">
        <v>11</v>
      </c>
      <c r="F12" s="146">
        <v>0.7</v>
      </c>
      <c r="G12" s="156">
        <v>2.5</v>
      </c>
    </row>
    <row r="13" spans="1:7" x14ac:dyDescent="0.2">
      <c r="A13" s="155" t="s">
        <v>22</v>
      </c>
      <c r="B13" s="6">
        <v>1.99</v>
      </c>
      <c r="C13" s="5" t="s">
        <v>23</v>
      </c>
      <c r="D13" s="6">
        <f>B13</f>
        <v>1.99</v>
      </c>
      <c r="E13" s="5" t="s">
        <v>11</v>
      </c>
      <c r="F13" s="146">
        <v>0.7</v>
      </c>
      <c r="G13" s="156">
        <v>2</v>
      </c>
    </row>
    <row r="14" spans="1:7" x14ac:dyDescent="0.2">
      <c r="A14" s="155" t="s">
        <v>24</v>
      </c>
      <c r="B14" s="6">
        <v>84.99</v>
      </c>
      <c r="C14" s="5" t="s">
        <v>10</v>
      </c>
      <c r="D14" s="6">
        <f>B14/55</f>
        <v>1.5452727272727271</v>
      </c>
      <c r="E14" s="5" t="s">
        <v>11</v>
      </c>
      <c r="F14" s="146">
        <v>0.8</v>
      </c>
      <c r="G14" s="156">
        <v>2.2000000000000002</v>
      </c>
    </row>
    <row r="15" spans="1:7" x14ac:dyDescent="0.2">
      <c r="A15" s="155" t="s">
        <v>25</v>
      </c>
      <c r="B15" s="6">
        <v>1.99</v>
      </c>
      <c r="C15" s="5" t="s">
        <v>13</v>
      </c>
      <c r="D15" s="6">
        <f>B15</f>
        <v>1.99</v>
      </c>
      <c r="E15" s="5" t="s">
        <v>11</v>
      </c>
      <c r="F15" s="146">
        <v>0.8</v>
      </c>
      <c r="G15" s="156">
        <v>3.5</v>
      </c>
    </row>
    <row r="16" spans="1:7" x14ac:dyDescent="0.2">
      <c r="A16" s="155" t="s">
        <v>26</v>
      </c>
      <c r="B16" s="6">
        <v>2.79</v>
      </c>
      <c r="C16" s="5" t="s">
        <v>13</v>
      </c>
      <c r="D16" s="6">
        <f>B16</f>
        <v>2.79</v>
      </c>
      <c r="E16" s="5" t="s">
        <v>11</v>
      </c>
      <c r="F16" s="146">
        <v>0</v>
      </c>
      <c r="G16" s="156">
        <v>550</v>
      </c>
    </row>
    <row r="17" spans="1:7" x14ac:dyDescent="0.2">
      <c r="A17" s="155" t="s">
        <v>27</v>
      </c>
      <c r="B17" s="6">
        <v>89.99</v>
      </c>
      <c r="C17" s="5" t="s">
        <v>10</v>
      </c>
      <c r="D17" s="6">
        <f>B17/55</f>
        <v>1.6361818181818182</v>
      </c>
      <c r="E17" s="5" t="s">
        <v>11</v>
      </c>
      <c r="F17" s="146">
        <v>0.82</v>
      </c>
      <c r="G17" s="156">
        <v>6.9</v>
      </c>
    </row>
    <row r="18" spans="1:7" x14ac:dyDescent="0.2">
      <c r="A18" s="155" t="s">
        <v>28</v>
      </c>
      <c r="B18" s="6">
        <v>2.69</v>
      </c>
      <c r="C18" s="5" t="s">
        <v>13</v>
      </c>
      <c r="D18" s="6">
        <f>B18</f>
        <v>2.69</v>
      </c>
      <c r="E18" s="5" t="s">
        <v>11</v>
      </c>
      <c r="F18" s="146">
        <v>0.81</v>
      </c>
      <c r="G18" s="156">
        <v>9</v>
      </c>
    </row>
    <row r="19" spans="1:7" x14ac:dyDescent="0.2">
      <c r="A19" s="155" t="s">
        <v>29</v>
      </c>
      <c r="B19" s="6">
        <v>79.989999999999995</v>
      </c>
      <c r="C19" s="5" t="s">
        <v>30</v>
      </c>
      <c r="D19" s="6">
        <f>B19/55</f>
        <v>1.4543636363636363</v>
      </c>
      <c r="E19" s="5" t="s">
        <v>11</v>
      </c>
      <c r="F19" s="146">
        <v>0.81</v>
      </c>
      <c r="G19" s="156">
        <v>2</v>
      </c>
    </row>
    <row r="20" spans="1:7" x14ac:dyDescent="0.2">
      <c r="A20" s="166" t="s">
        <v>31</v>
      </c>
      <c r="B20" s="174">
        <v>1.79</v>
      </c>
      <c r="C20" s="5" t="s">
        <v>13</v>
      </c>
      <c r="D20" s="174">
        <f>B20</f>
        <v>1.79</v>
      </c>
      <c r="E20" s="5" t="s">
        <v>11</v>
      </c>
      <c r="F20" s="175">
        <v>0.76</v>
      </c>
      <c r="G20" s="176">
        <v>2.75</v>
      </c>
    </row>
    <row r="21" spans="1:7" x14ac:dyDescent="0.2">
      <c r="A21" s="166" t="s">
        <v>32</v>
      </c>
      <c r="B21" s="174">
        <v>1.99</v>
      </c>
      <c r="C21" s="5" t="s">
        <v>13</v>
      </c>
      <c r="D21" s="174">
        <f>B21</f>
        <v>1.99</v>
      </c>
      <c r="E21" s="5" t="s">
        <v>11</v>
      </c>
      <c r="F21" s="175">
        <v>0</v>
      </c>
      <c r="G21" s="176">
        <v>0</v>
      </c>
    </row>
    <row r="22" spans="1:7" ht="15.75" thickBot="1" x14ac:dyDescent="0.25">
      <c r="A22" s="157" t="s">
        <v>33</v>
      </c>
      <c r="B22" s="158">
        <v>46.5</v>
      </c>
      <c r="C22" s="159" t="s">
        <v>10</v>
      </c>
      <c r="D22" s="158">
        <f>B22/55</f>
        <v>0.84545454545454546</v>
      </c>
      <c r="E22" s="159" t="s">
        <v>11</v>
      </c>
      <c r="F22" s="160">
        <v>0.86</v>
      </c>
      <c r="G22" s="161">
        <v>3</v>
      </c>
    </row>
    <row r="23" spans="1:7" x14ac:dyDescent="0.2">
      <c r="A23" s="216" t="s">
        <v>34</v>
      </c>
      <c r="B23" s="217"/>
      <c r="C23" s="217"/>
      <c r="D23" s="217"/>
      <c r="E23" s="217"/>
      <c r="F23" s="217"/>
      <c r="G23" s="218"/>
    </row>
    <row r="24" spans="1:7" x14ac:dyDescent="0.2">
      <c r="A24" s="99" t="s">
        <v>35</v>
      </c>
      <c r="B24" s="37" t="s">
        <v>3</v>
      </c>
      <c r="C24" s="37" t="s">
        <v>4</v>
      </c>
      <c r="D24" s="37" t="s">
        <v>5</v>
      </c>
      <c r="E24" s="37" t="s">
        <v>6</v>
      </c>
      <c r="F24" s="147" t="s">
        <v>36</v>
      </c>
      <c r="G24" s="162" t="s">
        <v>37</v>
      </c>
    </row>
    <row r="25" spans="1:7" x14ac:dyDescent="0.2">
      <c r="A25" s="155" t="s">
        <v>38</v>
      </c>
      <c r="B25" s="6">
        <v>18.989999999999998</v>
      </c>
      <c r="C25" s="5" t="s">
        <v>39</v>
      </c>
      <c r="D25" s="6">
        <f>B25/16</f>
        <v>1.1868749999999999</v>
      </c>
      <c r="E25" s="5" t="s">
        <v>40</v>
      </c>
      <c r="F25" s="146">
        <v>0.1</v>
      </c>
      <c r="G25" s="163"/>
    </row>
    <row r="26" spans="1:7" x14ac:dyDescent="0.2">
      <c r="A26" s="155" t="s">
        <v>41</v>
      </c>
      <c r="B26" s="6">
        <v>2.99</v>
      </c>
      <c r="C26" s="5" t="s">
        <v>50</v>
      </c>
      <c r="D26" s="6">
        <f>B26/2</f>
        <v>1.4950000000000001</v>
      </c>
      <c r="E26" s="5" t="s">
        <v>40</v>
      </c>
      <c r="F26" s="146">
        <v>0.14699999999999999</v>
      </c>
      <c r="G26" s="163"/>
    </row>
    <row r="27" spans="1:7" x14ac:dyDescent="0.2">
      <c r="A27" s="155" t="s">
        <v>42</v>
      </c>
      <c r="B27" s="6">
        <v>34</v>
      </c>
      <c r="C27" s="5" t="s">
        <v>43</v>
      </c>
      <c r="D27" s="6">
        <f>B27/16</f>
        <v>2.125</v>
      </c>
      <c r="E27" s="5" t="s">
        <v>40</v>
      </c>
      <c r="F27" s="146">
        <v>5.5E-2</v>
      </c>
      <c r="G27" s="163"/>
    </row>
    <row r="28" spans="1:7" x14ac:dyDescent="0.2">
      <c r="A28" s="155" t="s">
        <v>44</v>
      </c>
      <c r="B28" s="6">
        <v>12.79</v>
      </c>
      <c r="C28" s="5" t="s">
        <v>45</v>
      </c>
      <c r="D28" s="6">
        <f>B28/16</f>
        <v>0.79937499999999995</v>
      </c>
      <c r="E28" s="5" t="s">
        <v>40</v>
      </c>
      <c r="F28" s="146">
        <v>9.8000000000000004E-2</v>
      </c>
      <c r="G28" s="163"/>
    </row>
    <row r="29" spans="1:7" x14ac:dyDescent="0.2">
      <c r="A29" s="155" t="s">
        <v>46</v>
      </c>
      <c r="B29" s="6">
        <v>16</v>
      </c>
      <c r="C29" s="5" t="s">
        <v>45</v>
      </c>
      <c r="D29" s="6">
        <f>B29/16</f>
        <v>1</v>
      </c>
      <c r="E29" s="5" t="s">
        <v>40</v>
      </c>
      <c r="F29" s="146">
        <v>0.125</v>
      </c>
      <c r="G29" s="163"/>
    </row>
    <row r="30" spans="1:7" x14ac:dyDescent="0.2">
      <c r="A30" s="155" t="s">
        <v>47</v>
      </c>
      <c r="B30" s="6">
        <v>27.64</v>
      </c>
      <c r="C30" s="5" t="s">
        <v>39</v>
      </c>
      <c r="D30" s="6">
        <f>B30/16</f>
        <v>1.7275</v>
      </c>
      <c r="E30" s="5" t="s">
        <v>40</v>
      </c>
      <c r="F30" s="146">
        <v>0.18</v>
      </c>
      <c r="G30" s="163"/>
    </row>
    <row r="31" spans="1:7" x14ac:dyDescent="0.2">
      <c r="A31" s="155" t="s">
        <v>48</v>
      </c>
      <c r="B31" s="6">
        <v>21.49</v>
      </c>
      <c r="C31" s="5" t="s">
        <v>43</v>
      </c>
      <c r="D31" s="6">
        <f>B31/16</f>
        <v>1.3431249999999999</v>
      </c>
      <c r="E31" s="5" t="s">
        <v>40</v>
      </c>
      <c r="F31" s="146">
        <v>0.15</v>
      </c>
      <c r="G31" s="163"/>
    </row>
    <row r="32" spans="1:7" x14ac:dyDescent="0.2">
      <c r="A32" s="155" t="s">
        <v>49</v>
      </c>
      <c r="B32" s="6">
        <v>4</v>
      </c>
      <c r="C32" s="5" t="s">
        <v>50</v>
      </c>
      <c r="D32" s="6">
        <f>B32/2</f>
        <v>2</v>
      </c>
      <c r="E32" s="5" t="s">
        <v>40</v>
      </c>
      <c r="F32" s="146">
        <v>5.5E-2</v>
      </c>
      <c r="G32" s="163"/>
    </row>
    <row r="33" spans="1:7" x14ac:dyDescent="0.2">
      <c r="A33" s="155" t="s">
        <v>51</v>
      </c>
      <c r="B33" s="6">
        <v>15</v>
      </c>
      <c r="C33" s="5" t="s">
        <v>39</v>
      </c>
      <c r="D33" s="6">
        <f>B33/16</f>
        <v>0.9375</v>
      </c>
      <c r="E33" s="5" t="s">
        <v>40</v>
      </c>
      <c r="F33" s="146">
        <v>0.13400000000000001</v>
      </c>
      <c r="G33" s="163"/>
    </row>
    <row r="34" spans="1:7" x14ac:dyDescent="0.2">
      <c r="A34" s="155" t="s">
        <v>52</v>
      </c>
      <c r="B34" s="6">
        <v>4</v>
      </c>
      <c r="C34" s="5" t="s">
        <v>50</v>
      </c>
      <c r="D34" s="6">
        <f>B34/2</f>
        <v>2</v>
      </c>
      <c r="E34" s="5" t="s">
        <v>40</v>
      </c>
      <c r="F34" s="146">
        <v>0.05</v>
      </c>
      <c r="G34" s="163"/>
    </row>
    <row r="35" spans="1:7" x14ac:dyDescent="0.2">
      <c r="A35" s="155" t="s">
        <v>53</v>
      </c>
      <c r="B35" s="6">
        <v>9.75</v>
      </c>
      <c r="C35" s="5" t="s">
        <v>54</v>
      </c>
      <c r="D35" s="6">
        <f>B35/16</f>
        <v>0.609375</v>
      </c>
      <c r="E35" s="5" t="s">
        <v>40</v>
      </c>
      <c r="F35" s="146">
        <v>4.2000000000000003E-2</v>
      </c>
      <c r="G35" s="163"/>
    </row>
    <row r="36" spans="1:7" x14ac:dyDescent="0.2">
      <c r="A36" s="155" t="s">
        <v>206</v>
      </c>
      <c r="B36" s="6">
        <v>0</v>
      </c>
      <c r="C36" s="5"/>
      <c r="D36" s="6">
        <v>0</v>
      </c>
      <c r="E36" s="5"/>
      <c r="F36" s="146">
        <v>0.19</v>
      </c>
      <c r="G36" s="163"/>
    </row>
    <row r="37" spans="1:7" x14ac:dyDescent="0.2">
      <c r="A37" s="155" t="s">
        <v>205</v>
      </c>
      <c r="B37" s="6">
        <v>0</v>
      </c>
      <c r="C37" s="5"/>
      <c r="D37" s="6">
        <v>0</v>
      </c>
      <c r="E37" s="5"/>
      <c r="F37" s="146">
        <v>0.06</v>
      </c>
      <c r="G37" s="163"/>
    </row>
    <row r="38" spans="1:7" x14ac:dyDescent="0.2">
      <c r="A38" s="155" t="s">
        <v>55</v>
      </c>
      <c r="B38" s="6">
        <v>18.989999999999998</v>
      </c>
      <c r="C38" s="5" t="s">
        <v>39</v>
      </c>
      <c r="D38" s="6">
        <f t="shared" ref="D38:D46" si="0">B38/16</f>
        <v>1.1868749999999999</v>
      </c>
      <c r="E38" s="5" t="s">
        <v>40</v>
      </c>
      <c r="F38" s="146">
        <v>0.14000000000000001</v>
      </c>
      <c r="G38" s="163"/>
    </row>
    <row r="39" spans="1:7" x14ac:dyDescent="0.2">
      <c r="A39" s="155" t="s">
        <v>56</v>
      </c>
      <c r="B39" s="6">
        <v>24.99</v>
      </c>
      <c r="C39" s="5" t="s">
        <v>43</v>
      </c>
      <c r="D39" s="6">
        <f t="shared" si="0"/>
        <v>1.5618749999999999</v>
      </c>
      <c r="E39" s="5" t="s">
        <v>40</v>
      </c>
      <c r="F39" s="146">
        <v>0.153</v>
      </c>
      <c r="G39" s="163"/>
    </row>
    <row r="40" spans="1:7" x14ac:dyDescent="0.2">
      <c r="A40" s="155" t="s">
        <v>57</v>
      </c>
      <c r="B40" s="6">
        <v>15</v>
      </c>
      <c r="C40" s="5" t="s">
        <v>39</v>
      </c>
      <c r="D40" s="6">
        <f t="shared" si="0"/>
        <v>0.9375</v>
      </c>
      <c r="E40" s="5" t="s">
        <v>40</v>
      </c>
      <c r="F40" s="146">
        <v>0.13</v>
      </c>
      <c r="G40" s="163"/>
    </row>
    <row r="41" spans="1:7" x14ac:dyDescent="0.2">
      <c r="A41" s="155" t="s">
        <v>58</v>
      </c>
      <c r="B41" s="6">
        <v>23</v>
      </c>
      <c r="C41" s="5" t="s">
        <v>39</v>
      </c>
      <c r="D41" s="6">
        <f t="shared" si="0"/>
        <v>1.4375</v>
      </c>
      <c r="E41" s="5" t="s">
        <v>40</v>
      </c>
      <c r="F41" s="146">
        <v>0.12</v>
      </c>
      <c r="G41" s="163"/>
    </row>
    <row r="42" spans="1:7" x14ac:dyDescent="0.2">
      <c r="A42" s="155" t="s">
        <v>59</v>
      </c>
      <c r="B42" s="6">
        <v>27.64</v>
      </c>
      <c r="C42" s="5" t="s">
        <v>39</v>
      </c>
      <c r="D42" s="6">
        <f t="shared" si="0"/>
        <v>1.7275</v>
      </c>
      <c r="E42" s="5" t="s">
        <v>40</v>
      </c>
      <c r="F42" s="146">
        <v>0.17499999999999999</v>
      </c>
      <c r="G42" s="163"/>
    </row>
    <row r="43" spans="1:7" x14ac:dyDescent="0.2">
      <c r="A43" s="155" t="s">
        <v>60</v>
      </c>
      <c r="B43" s="6">
        <v>11</v>
      </c>
      <c r="C43" s="5" t="s">
        <v>39</v>
      </c>
      <c r="D43" s="6">
        <f t="shared" si="0"/>
        <v>0.6875</v>
      </c>
      <c r="E43" s="5" t="s">
        <v>40</v>
      </c>
      <c r="F43" s="146">
        <v>0.14699999999999999</v>
      </c>
      <c r="G43" s="163"/>
    </row>
    <row r="44" spans="1:7" x14ac:dyDescent="0.2">
      <c r="A44" s="155" t="s">
        <v>61</v>
      </c>
      <c r="B44" s="6">
        <v>15</v>
      </c>
      <c r="C44" s="5" t="s">
        <v>39</v>
      </c>
      <c r="D44" s="6">
        <f t="shared" si="0"/>
        <v>0.9375</v>
      </c>
      <c r="E44" s="5" t="s">
        <v>40</v>
      </c>
      <c r="F44" s="146">
        <v>7.0999999999999994E-2</v>
      </c>
      <c r="G44" s="163"/>
    </row>
    <row r="45" spans="1:7" x14ac:dyDescent="0.2">
      <c r="A45" s="155" t="s">
        <v>62</v>
      </c>
      <c r="B45" s="6">
        <v>18.989999999999998</v>
      </c>
      <c r="C45" s="5" t="s">
        <v>39</v>
      </c>
      <c r="D45" s="6">
        <f t="shared" si="0"/>
        <v>1.1868749999999999</v>
      </c>
      <c r="E45" s="5" t="s">
        <v>40</v>
      </c>
      <c r="F45" s="146">
        <v>0.123</v>
      </c>
      <c r="G45" s="163"/>
    </row>
    <row r="46" spans="1:7" ht="15.75" thickBot="1" x14ac:dyDescent="0.25">
      <c r="A46" s="157" t="s">
        <v>63</v>
      </c>
      <c r="B46" s="158">
        <v>13</v>
      </c>
      <c r="C46" s="159" t="s">
        <v>39</v>
      </c>
      <c r="D46" s="158">
        <f t="shared" si="0"/>
        <v>0.8125</v>
      </c>
      <c r="E46" s="159" t="s">
        <v>40</v>
      </c>
      <c r="F46" s="160">
        <v>9.5000000000000001E-2</v>
      </c>
      <c r="G46" s="164"/>
    </row>
    <row r="47" spans="1:7" x14ac:dyDescent="0.2">
      <c r="A47" s="216" t="s">
        <v>64</v>
      </c>
      <c r="B47" s="217"/>
      <c r="C47" s="217"/>
      <c r="D47" s="217"/>
      <c r="E47" s="217"/>
      <c r="F47" s="217"/>
      <c r="G47" s="218"/>
    </row>
    <row r="48" spans="1:7" x14ac:dyDescent="0.2">
      <c r="A48" s="155" t="s">
        <v>65</v>
      </c>
      <c r="B48" s="6">
        <v>10.99</v>
      </c>
      <c r="C48" s="5" t="s">
        <v>66</v>
      </c>
      <c r="D48" s="7">
        <f>B48/200</f>
        <v>5.4949999999999999E-2</v>
      </c>
      <c r="E48" s="5" t="s">
        <v>67</v>
      </c>
      <c r="F48" s="148"/>
      <c r="G48" s="165"/>
    </row>
    <row r="49" spans="1:7" x14ac:dyDescent="0.2">
      <c r="A49" s="166" t="s">
        <v>68</v>
      </c>
      <c r="B49" s="6">
        <v>8.99</v>
      </c>
      <c r="C49" s="5" t="s">
        <v>69</v>
      </c>
      <c r="D49" s="7">
        <f>B49/100</f>
        <v>8.9900000000000008E-2</v>
      </c>
      <c r="E49" s="5" t="s">
        <v>67</v>
      </c>
      <c r="F49" s="83"/>
      <c r="G49" s="165"/>
    </row>
    <row r="50" spans="1:7" x14ac:dyDescent="0.2">
      <c r="A50" s="155" t="s">
        <v>70</v>
      </c>
      <c r="B50" s="6">
        <f>80.95/5</f>
        <v>16.190000000000001</v>
      </c>
      <c r="C50" s="5" t="s">
        <v>66</v>
      </c>
      <c r="D50" s="7">
        <f>B50/200</f>
        <v>8.0950000000000008E-2</v>
      </c>
      <c r="E50" s="5" t="s">
        <v>67</v>
      </c>
      <c r="F50" s="83"/>
      <c r="G50" s="165"/>
    </row>
    <row r="51" spans="1:7" x14ac:dyDescent="0.2">
      <c r="A51" s="166" t="s">
        <v>204</v>
      </c>
      <c r="B51" s="6"/>
      <c r="C51" s="5"/>
      <c r="D51" s="7"/>
      <c r="E51" s="5"/>
      <c r="F51" s="83"/>
      <c r="G51" s="165"/>
    </row>
    <row r="52" spans="1:7" ht="15.75" thickBot="1" x14ac:dyDescent="0.25">
      <c r="A52" s="157"/>
      <c r="B52" s="158"/>
      <c r="C52" s="159"/>
      <c r="D52" s="167"/>
      <c r="E52" s="159"/>
      <c r="F52" s="168"/>
      <c r="G52" s="169"/>
    </row>
    <row r="53" spans="1:7" x14ac:dyDescent="0.2">
      <c r="A53" s="216" t="s">
        <v>71</v>
      </c>
      <c r="B53" s="217"/>
      <c r="C53" s="217"/>
      <c r="D53" s="217"/>
      <c r="E53" s="218"/>
      <c r="F53" s="83"/>
      <c r="G53" s="83"/>
    </row>
    <row r="54" spans="1:7" x14ac:dyDescent="0.2">
      <c r="A54" s="155" t="s">
        <v>72</v>
      </c>
      <c r="B54" s="6">
        <v>90</v>
      </c>
      <c r="C54" s="5" t="s">
        <v>202</v>
      </c>
      <c r="D54" s="6">
        <f>B54/192</f>
        <v>0.46875</v>
      </c>
      <c r="E54" s="156" t="s">
        <v>73</v>
      </c>
      <c r="F54" s="83"/>
      <c r="G54" s="83"/>
    </row>
    <row r="55" spans="1:7" ht="15.75" thickBot="1" x14ac:dyDescent="0.25">
      <c r="A55" s="170" t="s">
        <v>74</v>
      </c>
      <c r="B55" s="171">
        <v>35</v>
      </c>
      <c r="C55" s="172" t="s">
        <v>75</v>
      </c>
      <c r="D55" s="172"/>
      <c r="E55" s="173"/>
      <c r="F55" s="83"/>
      <c r="G55" s="83"/>
    </row>
  </sheetData>
  <sortState xmlns:xlrd2="http://schemas.microsoft.com/office/spreadsheetml/2017/richdata2" ref="A25:G46">
    <sortCondition ref="A25:A46"/>
  </sortState>
  <mergeCells count="5">
    <mergeCell ref="A47:G47"/>
    <mergeCell ref="A53:E53"/>
    <mergeCell ref="A1:G1"/>
    <mergeCell ref="A2:G2"/>
    <mergeCell ref="A23:G23"/>
  </mergeCells>
  <phoneticPr fontId="5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AF69-8B47-4D33-9E8D-E45C6CAA7390}">
  <sheetPr codeName="Sheet3"/>
  <dimension ref="A1:O24"/>
  <sheetViews>
    <sheetView workbookViewId="0">
      <selection activeCell="J5" sqref="J5"/>
    </sheetView>
  </sheetViews>
  <sheetFormatPr defaultRowHeight="15" x14ac:dyDescent="0.2"/>
  <cols>
    <col min="12" max="12" width="16.41015625" customWidth="1"/>
  </cols>
  <sheetData>
    <row r="1" spans="1:15" ht="15.75" thickBot="1" x14ac:dyDescent="0.25">
      <c r="A1" s="229"/>
      <c r="B1" s="230"/>
      <c r="C1" s="223" t="s">
        <v>76</v>
      </c>
      <c r="D1" s="224"/>
      <c r="E1" s="224"/>
      <c r="F1" s="224"/>
      <c r="G1" s="224"/>
      <c r="H1" s="224"/>
    </row>
    <row r="2" spans="1:15" x14ac:dyDescent="0.2">
      <c r="A2" s="231"/>
      <c r="B2" s="232"/>
      <c r="C2" s="225" t="s">
        <v>77</v>
      </c>
      <c r="D2" s="226"/>
      <c r="E2" s="227"/>
      <c r="F2" s="228" t="s">
        <v>78</v>
      </c>
      <c r="G2" s="226"/>
      <c r="H2" s="227"/>
      <c r="J2" t="s">
        <v>79</v>
      </c>
      <c r="L2" s="5"/>
      <c r="M2" s="5" t="s">
        <v>80</v>
      </c>
      <c r="N2" s="5" t="s">
        <v>81</v>
      </c>
      <c r="O2" s="5" t="s">
        <v>82</v>
      </c>
    </row>
    <row r="3" spans="1:15" ht="15.75" thickBot="1" x14ac:dyDescent="0.25">
      <c r="A3" s="16" t="s">
        <v>83</v>
      </c>
      <c r="B3" s="15" t="s">
        <v>84</v>
      </c>
      <c r="C3" s="17">
        <v>0.5</v>
      </c>
      <c r="D3" s="18">
        <v>0.75</v>
      </c>
      <c r="E3" s="19">
        <v>1</v>
      </c>
      <c r="F3" s="20">
        <v>1.25</v>
      </c>
      <c r="G3" s="18">
        <v>1.5</v>
      </c>
      <c r="H3" s="19">
        <v>1.75</v>
      </c>
      <c r="J3">
        <f>CONVERT(1,"gal","l")</f>
        <v>3.7854117839999999</v>
      </c>
      <c r="L3" s="5" t="s">
        <v>77</v>
      </c>
      <c r="M3" s="5">
        <v>0.5</v>
      </c>
      <c r="N3" s="5">
        <v>0.75</v>
      </c>
      <c r="O3" s="5">
        <v>1</v>
      </c>
    </row>
    <row r="4" spans="1:15" x14ac:dyDescent="0.2">
      <c r="A4" s="21">
        <v>1.02</v>
      </c>
      <c r="B4" s="22">
        <f>(-1*616.868)+(1111.14*A4)-(630.272*A4^2)+(135.997*A4^3)</f>
        <v>5.0809155760000522</v>
      </c>
      <c r="C4" s="23">
        <f>B4*C$3*$J$3</f>
        <v>9.6166788474498723</v>
      </c>
      <c r="D4" s="24">
        <f>B4*D$3*$J$3</f>
        <v>14.425018271174809</v>
      </c>
      <c r="E4" s="25">
        <f>B4*E$3*$J$3</f>
        <v>19.233357694899745</v>
      </c>
      <c r="F4" s="106">
        <f>B4*F$3*$J$3</f>
        <v>24.041697118624679</v>
      </c>
      <c r="G4" s="107">
        <f>B4*G$3*$J$3</f>
        <v>28.850036542349617</v>
      </c>
      <c r="H4" s="108">
        <f>B4*H$3*$J$3</f>
        <v>33.658375966074551</v>
      </c>
      <c r="L4" s="5" t="s">
        <v>78</v>
      </c>
      <c r="M4" s="5">
        <v>1.25</v>
      </c>
      <c r="N4" s="5">
        <v>1.5</v>
      </c>
      <c r="O4" s="5">
        <v>1.75</v>
      </c>
    </row>
    <row r="5" spans="1:15" x14ac:dyDescent="0.2">
      <c r="A5" s="27">
        <v>1.0249999999999999</v>
      </c>
      <c r="B5" s="22">
        <f t="shared" ref="B5:B24" si="0">(-1*616.868)+(1111.14*A5)-(630.272*A5^2)+(135.997*A5^3)</f>
        <v>6.3248743281249062</v>
      </c>
      <c r="C5" s="28">
        <f t="shared" ref="C5:C24" si="1">B5*C$3*$J$3</f>
        <v>11.971126907001551</v>
      </c>
      <c r="D5" s="29">
        <f t="shared" ref="D5:D24" si="2">B5*D$3*$J$3</f>
        <v>17.956690360502325</v>
      </c>
      <c r="E5" s="30">
        <f t="shared" ref="E5:E24" si="3">B5*E$3*$J$3</f>
        <v>23.942253814003102</v>
      </c>
      <c r="F5" s="28">
        <f t="shared" ref="F5:F24" si="4">B5*F$3*$J$3</f>
        <v>29.927817267503876</v>
      </c>
      <c r="G5" s="26">
        <f t="shared" ref="G5:G24" si="5">B5*G$3*$J$3</f>
        <v>35.91338072100465</v>
      </c>
      <c r="H5" s="109">
        <f t="shared" ref="H5:H24" si="6">B5*H$3*$J$3</f>
        <v>41.898944174505431</v>
      </c>
    </row>
    <row r="6" spans="1:15" x14ac:dyDescent="0.2">
      <c r="A6" s="21">
        <v>1.03</v>
      </c>
      <c r="B6" s="22">
        <f t="shared" si="0"/>
        <v>7.5582290190000947</v>
      </c>
      <c r="C6" s="28">
        <f t="shared" si="1"/>
        <v>14.305504597346859</v>
      </c>
      <c r="D6" s="29">
        <f t="shared" si="2"/>
        <v>21.458256896020288</v>
      </c>
      <c r="E6" s="30">
        <f t="shared" si="3"/>
        <v>28.611009194693718</v>
      </c>
      <c r="F6" s="28">
        <f t="shared" si="4"/>
        <v>35.763761493367149</v>
      </c>
      <c r="G6" s="26">
        <f t="shared" si="5"/>
        <v>42.916513792040575</v>
      </c>
      <c r="H6" s="109">
        <f t="shared" si="6"/>
        <v>50.069266090714002</v>
      </c>
      <c r="L6" s="5"/>
      <c r="M6" s="5" t="s">
        <v>77</v>
      </c>
      <c r="N6" s="5" t="s">
        <v>78</v>
      </c>
    </row>
    <row r="7" spans="1:15" x14ac:dyDescent="0.2">
      <c r="A7" s="27">
        <v>1.0349999999999999</v>
      </c>
      <c r="B7" s="22">
        <f t="shared" si="0"/>
        <v>8.7810816463749575</v>
      </c>
      <c r="C7" s="28">
        <f t="shared" si="1"/>
        <v>16.62000497022694</v>
      </c>
      <c r="D7" s="29">
        <f t="shared" si="2"/>
        <v>24.930007455340412</v>
      </c>
      <c r="E7" s="30">
        <f t="shared" si="3"/>
        <v>33.240009940453881</v>
      </c>
      <c r="F7" s="28">
        <f t="shared" si="4"/>
        <v>41.550012425567353</v>
      </c>
      <c r="G7" s="26">
        <f t="shared" si="5"/>
        <v>49.860014910680825</v>
      </c>
      <c r="H7" s="109">
        <f t="shared" si="6"/>
        <v>58.170017395794297</v>
      </c>
      <c r="L7" s="5" t="s">
        <v>80</v>
      </c>
      <c r="M7" s="5">
        <v>0.5</v>
      </c>
      <c r="N7" s="5">
        <v>1.25</v>
      </c>
    </row>
    <row r="8" spans="1:15" x14ac:dyDescent="0.2">
      <c r="A8" s="21">
        <v>1.04</v>
      </c>
      <c r="B8" s="22">
        <f t="shared" si="0"/>
        <v>9.9935342079999714</v>
      </c>
      <c r="C8" s="28">
        <f t="shared" si="1"/>
        <v>18.914821077385099</v>
      </c>
      <c r="D8" s="29">
        <f t="shared" si="2"/>
        <v>28.372231616077649</v>
      </c>
      <c r="E8" s="30">
        <f t="shared" si="3"/>
        <v>37.829642154770198</v>
      </c>
      <c r="F8" s="28">
        <f t="shared" si="4"/>
        <v>47.287052693462748</v>
      </c>
      <c r="G8" s="26">
        <f t="shared" si="5"/>
        <v>56.744463232155297</v>
      </c>
      <c r="H8" s="109">
        <f t="shared" si="6"/>
        <v>66.20187377084784</v>
      </c>
      <c r="L8" s="5" t="s">
        <v>85</v>
      </c>
      <c r="M8" s="5">
        <v>0.75</v>
      </c>
      <c r="N8" s="5">
        <v>1.5</v>
      </c>
    </row>
    <row r="9" spans="1:15" x14ac:dyDescent="0.2">
      <c r="A9" s="27">
        <v>1.0449999999999999</v>
      </c>
      <c r="B9" s="22">
        <f t="shared" si="0"/>
        <v>11.195688701624988</v>
      </c>
      <c r="C9" s="28">
        <f t="shared" si="1"/>
        <v>21.190145970563446</v>
      </c>
      <c r="D9" s="29">
        <f t="shared" si="2"/>
        <v>31.785218955845167</v>
      </c>
      <c r="E9" s="30">
        <f t="shared" si="3"/>
        <v>42.380291941126892</v>
      </c>
      <c r="F9" s="28">
        <f t="shared" si="4"/>
        <v>52.975364926408609</v>
      </c>
      <c r="G9" s="26">
        <f t="shared" si="5"/>
        <v>63.570437911690334</v>
      </c>
      <c r="H9" s="109">
        <f t="shared" si="6"/>
        <v>74.165510896972052</v>
      </c>
      <c r="L9" s="5" t="s">
        <v>82</v>
      </c>
      <c r="M9" s="5">
        <v>1</v>
      </c>
      <c r="N9" s="5">
        <v>1.75</v>
      </c>
    </row>
    <row r="10" spans="1:15" x14ac:dyDescent="0.2">
      <c r="A10" s="21">
        <v>1.05</v>
      </c>
      <c r="B10" s="22">
        <f t="shared" si="0"/>
        <v>12.387647125000029</v>
      </c>
      <c r="C10" s="28">
        <f t="shared" si="1"/>
        <v>23.446172701504416</v>
      </c>
      <c r="D10" s="29">
        <f t="shared" si="2"/>
        <v>35.169259052256621</v>
      </c>
      <c r="E10" s="30">
        <f t="shared" si="3"/>
        <v>46.892345403008832</v>
      </c>
      <c r="F10" s="28">
        <f t="shared" si="4"/>
        <v>58.615431753761037</v>
      </c>
      <c r="G10" s="26">
        <f t="shared" si="5"/>
        <v>70.338518104513241</v>
      </c>
      <c r="H10" s="109">
        <f t="shared" si="6"/>
        <v>82.061604455265453</v>
      </c>
    </row>
    <row r="11" spans="1:15" x14ac:dyDescent="0.2">
      <c r="A11" s="27">
        <v>1.0549999999999999</v>
      </c>
      <c r="B11" s="22">
        <f t="shared" si="0"/>
        <v>13.569511475874947</v>
      </c>
      <c r="C11" s="28">
        <f t="shared" si="1"/>
        <v>25.683094321950126</v>
      </c>
      <c r="D11" s="29">
        <f t="shared" si="2"/>
        <v>38.52464148292519</v>
      </c>
      <c r="E11" s="30">
        <f t="shared" si="3"/>
        <v>51.366188643900252</v>
      </c>
      <c r="F11" s="28">
        <f t="shared" si="4"/>
        <v>64.207735804875313</v>
      </c>
      <c r="G11" s="26">
        <f t="shared" si="5"/>
        <v>77.049282965850381</v>
      </c>
      <c r="H11" s="109">
        <f t="shared" si="6"/>
        <v>89.890830126825449</v>
      </c>
    </row>
    <row r="12" spans="1:15" ht="27.75" x14ac:dyDescent="0.2">
      <c r="A12" s="21">
        <v>1.06</v>
      </c>
      <c r="B12" s="22">
        <f t="shared" si="0"/>
        <v>14.741383751999933</v>
      </c>
      <c r="C12" s="28">
        <f t="shared" si="1"/>
        <v>27.901103883643341</v>
      </c>
      <c r="D12" s="29">
        <f t="shared" si="2"/>
        <v>41.851655825465009</v>
      </c>
      <c r="E12" s="30">
        <f t="shared" si="3"/>
        <v>55.802207767286681</v>
      </c>
      <c r="F12" s="28">
        <f t="shared" si="4"/>
        <v>69.752759709108346</v>
      </c>
      <c r="G12" s="26">
        <f t="shared" si="5"/>
        <v>83.703311650930019</v>
      </c>
      <c r="H12" s="109">
        <f t="shared" si="6"/>
        <v>97.653863592751691</v>
      </c>
      <c r="L12" s="75" t="s">
        <v>86</v>
      </c>
    </row>
    <row r="13" spans="1:15" ht="27.75" x14ac:dyDescent="0.2">
      <c r="A13" s="27">
        <v>1.0649999999999999</v>
      </c>
      <c r="B13" s="22">
        <f t="shared" si="0"/>
        <v>15.903365951124954</v>
      </c>
      <c r="C13" s="28">
        <f t="shared" si="1"/>
        <v>30.100394438326383</v>
      </c>
      <c r="D13" s="29">
        <f t="shared" si="2"/>
        <v>45.150591657489578</v>
      </c>
      <c r="E13" s="30">
        <f t="shared" si="3"/>
        <v>60.200788876652766</v>
      </c>
      <c r="F13" s="28">
        <f t="shared" si="4"/>
        <v>75.250986095815961</v>
      </c>
      <c r="G13" s="26">
        <f t="shared" si="5"/>
        <v>90.301183314979156</v>
      </c>
      <c r="H13" s="109">
        <f t="shared" si="6"/>
        <v>105.35138053414234</v>
      </c>
      <c r="L13" s="75" t="s">
        <v>87</v>
      </c>
    </row>
    <row r="14" spans="1:15" ht="27.75" x14ac:dyDescent="0.2">
      <c r="A14" s="21">
        <v>1.07</v>
      </c>
      <c r="B14" s="22">
        <f t="shared" si="0"/>
        <v>17.055560070999974</v>
      </c>
      <c r="C14" s="28">
        <f t="shared" si="1"/>
        <v>32.281159037741588</v>
      </c>
      <c r="D14" s="29">
        <f t="shared" si="2"/>
        <v>48.421738556612382</v>
      </c>
      <c r="E14" s="30">
        <f t="shared" si="3"/>
        <v>64.562318075483176</v>
      </c>
      <c r="F14" s="28">
        <f t="shared" si="4"/>
        <v>80.702897594353971</v>
      </c>
      <c r="G14" s="26">
        <f t="shared" si="5"/>
        <v>96.843477113224765</v>
      </c>
      <c r="H14" s="109">
        <f t="shared" si="6"/>
        <v>112.98405663209556</v>
      </c>
      <c r="L14" s="75" t="s">
        <v>88</v>
      </c>
    </row>
    <row r="15" spans="1:15" x14ac:dyDescent="0.2">
      <c r="A15" s="27">
        <v>1.075</v>
      </c>
      <c r="B15" s="22">
        <f t="shared" si="0"/>
        <v>18.198068109374987</v>
      </c>
      <c r="C15" s="28">
        <f t="shared" si="1"/>
        <v>34.443590733631339</v>
      </c>
      <c r="D15" s="29">
        <f t="shared" si="2"/>
        <v>51.665386100447002</v>
      </c>
      <c r="E15" s="30">
        <f t="shared" si="3"/>
        <v>68.887181467262678</v>
      </c>
      <c r="F15" s="28">
        <f t="shared" si="4"/>
        <v>86.108976834078348</v>
      </c>
      <c r="G15" s="26">
        <f t="shared" si="5"/>
        <v>103.330772200894</v>
      </c>
      <c r="H15" s="109">
        <f t="shared" si="6"/>
        <v>120.55256756770967</v>
      </c>
    </row>
    <row r="16" spans="1:15" x14ac:dyDescent="0.2">
      <c r="A16" s="21">
        <v>1.08</v>
      </c>
      <c r="B16" s="22">
        <f t="shared" si="0"/>
        <v>19.330992064000014</v>
      </c>
      <c r="C16" s="28">
        <f t="shared" si="1"/>
        <v>36.587882577738064</v>
      </c>
      <c r="D16" s="29">
        <f t="shared" si="2"/>
        <v>54.8818238666071</v>
      </c>
      <c r="E16" s="30">
        <f t="shared" si="3"/>
        <v>73.175765155476128</v>
      </c>
      <c r="F16" s="28">
        <f t="shared" si="4"/>
        <v>91.469706444345164</v>
      </c>
      <c r="G16" s="26">
        <f t="shared" si="5"/>
        <v>109.7636477332142</v>
      </c>
      <c r="H16" s="109">
        <f t="shared" si="6"/>
        <v>128.05758902208325</v>
      </c>
    </row>
    <row r="17" spans="1:8" x14ac:dyDescent="0.2">
      <c r="A17" s="27">
        <v>1.085</v>
      </c>
      <c r="B17" s="22">
        <f t="shared" si="0"/>
        <v>20.454433932624966</v>
      </c>
      <c r="C17" s="28">
        <f t="shared" si="1"/>
        <v>38.714227621804</v>
      </c>
      <c r="D17" s="29">
        <f t="shared" si="2"/>
        <v>58.071341432706006</v>
      </c>
      <c r="E17" s="30">
        <f t="shared" si="3"/>
        <v>77.428455243607999</v>
      </c>
      <c r="F17" s="28">
        <f t="shared" si="4"/>
        <v>96.785569054510006</v>
      </c>
      <c r="G17" s="26">
        <f t="shared" si="5"/>
        <v>116.14268286541201</v>
      </c>
      <c r="H17" s="109">
        <f t="shared" si="6"/>
        <v>135.49979667631402</v>
      </c>
    </row>
    <row r="18" spans="1:8" x14ac:dyDescent="0.2">
      <c r="A18" s="21">
        <v>1.0900000000000001</v>
      </c>
      <c r="B18" s="22">
        <f t="shared" si="0"/>
        <v>21.568495713000004</v>
      </c>
      <c r="C18" s="28">
        <f t="shared" si="1"/>
        <v>40.822818917571851</v>
      </c>
      <c r="D18" s="29">
        <f t="shared" si="2"/>
        <v>61.23422837635777</v>
      </c>
      <c r="E18" s="30">
        <f t="shared" si="3"/>
        <v>81.645637835143702</v>
      </c>
      <c r="F18" s="28">
        <f t="shared" si="4"/>
        <v>102.05704729392961</v>
      </c>
      <c r="G18" s="26">
        <f t="shared" si="5"/>
        <v>122.46845675271554</v>
      </c>
      <c r="H18" s="109">
        <f t="shared" si="6"/>
        <v>142.87986621150148</v>
      </c>
    </row>
    <row r="19" spans="1:8" x14ac:dyDescent="0.2">
      <c r="A19" s="27">
        <v>1.095</v>
      </c>
      <c r="B19" s="22">
        <f t="shared" si="0"/>
        <v>22.673279402874954</v>
      </c>
      <c r="C19" s="28">
        <f t="shared" si="1"/>
        <v>42.913849516783664</v>
      </c>
      <c r="D19" s="29">
        <f t="shared" si="2"/>
        <v>64.370774275175492</v>
      </c>
      <c r="E19" s="30">
        <f t="shared" si="3"/>
        <v>85.827699033567328</v>
      </c>
      <c r="F19" s="28">
        <f t="shared" si="4"/>
        <v>107.28462379195916</v>
      </c>
      <c r="G19" s="26">
        <f t="shared" si="5"/>
        <v>128.74154855035098</v>
      </c>
      <c r="H19" s="109">
        <f t="shared" si="6"/>
        <v>150.19847330874282</v>
      </c>
    </row>
    <row r="20" spans="1:8" x14ac:dyDescent="0.2">
      <c r="A20" s="21">
        <v>1.1000000000000001</v>
      </c>
      <c r="B20" s="22">
        <f t="shared" si="0"/>
        <v>23.768886999999978</v>
      </c>
      <c r="C20" s="28">
        <f t="shared" si="1"/>
        <v>44.987512471182164</v>
      </c>
      <c r="D20" s="29">
        <f t="shared" si="2"/>
        <v>67.481268706773236</v>
      </c>
      <c r="E20" s="30">
        <f t="shared" si="3"/>
        <v>89.975024942364328</v>
      </c>
      <c r="F20" s="28">
        <f t="shared" si="4"/>
        <v>112.46878117795541</v>
      </c>
      <c r="G20" s="26">
        <f t="shared" si="5"/>
        <v>134.96253741354647</v>
      </c>
      <c r="H20" s="109">
        <f t="shared" si="6"/>
        <v>157.45629364913756</v>
      </c>
    </row>
    <row r="21" spans="1:8" x14ac:dyDescent="0.2">
      <c r="A21" s="27">
        <v>1.105</v>
      </c>
      <c r="B21" s="22">
        <f t="shared" si="0"/>
        <v>24.855420502124957</v>
      </c>
      <c r="C21" s="28">
        <f t="shared" si="1"/>
        <v>47.044000832509504</v>
      </c>
      <c r="D21" s="29">
        <f t="shared" si="2"/>
        <v>70.566001248764252</v>
      </c>
      <c r="E21" s="30">
        <f t="shared" si="3"/>
        <v>94.088001665019007</v>
      </c>
      <c r="F21" s="28">
        <f t="shared" si="4"/>
        <v>117.61000208127376</v>
      </c>
      <c r="G21" s="26">
        <f t="shared" si="5"/>
        <v>141.1320024975285</v>
      </c>
      <c r="H21" s="109">
        <f t="shared" si="6"/>
        <v>164.65400291378327</v>
      </c>
    </row>
    <row r="22" spans="1:8" x14ac:dyDescent="0.2">
      <c r="A22" s="21">
        <v>1.1100000000000001</v>
      </c>
      <c r="B22" s="22">
        <f t="shared" si="0"/>
        <v>25.93298190699997</v>
      </c>
      <c r="C22" s="28">
        <f t="shared" si="1"/>
        <v>49.083507652508239</v>
      </c>
      <c r="D22" s="29">
        <f t="shared" si="2"/>
        <v>73.625261478762354</v>
      </c>
      <c r="E22" s="30">
        <f t="shared" si="3"/>
        <v>98.167015305016477</v>
      </c>
      <c r="F22" s="28">
        <f t="shared" si="4"/>
        <v>122.7087691312706</v>
      </c>
      <c r="G22" s="26">
        <f t="shared" si="5"/>
        <v>147.25052295752471</v>
      </c>
      <c r="H22" s="109">
        <f t="shared" si="6"/>
        <v>171.79227678377885</v>
      </c>
    </row>
    <row r="23" spans="1:8" x14ac:dyDescent="0.2">
      <c r="A23" s="27">
        <v>1.115</v>
      </c>
      <c r="B23" s="22">
        <f t="shared" si="0"/>
        <v>27.001673212374897</v>
      </c>
      <c r="C23" s="28">
        <f t="shared" si="1"/>
        <v>51.106225982920535</v>
      </c>
      <c r="D23" s="29">
        <f t="shared" si="2"/>
        <v>76.659338974380802</v>
      </c>
      <c r="E23" s="30">
        <f t="shared" si="3"/>
        <v>102.21245196584107</v>
      </c>
      <c r="F23" s="28">
        <f t="shared" si="4"/>
        <v>127.76556495730134</v>
      </c>
      <c r="G23" s="26">
        <f t="shared" si="5"/>
        <v>153.3186779487616</v>
      </c>
      <c r="H23" s="109">
        <f t="shared" si="6"/>
        <v>178.87179094022187</v>
      </c>
    </row>
    <row r="24" spans="1:8" ht="15.75" thickBot="1" x14ac:dyDescent="0.25">
      <c r="A24" s="21">
        <v>1.1200000000000001</v>
      </c>
      <c r="B24" s="22">
        <f t="shared" si="0"/>
        <v>28.061596415999958</v>
      </c>
      <c r="C24" s="31">
        <f t="shared" si="1"/>
        <v>53.112348875489204</v>
      </c>
      <c r="D24" s="32">
        <f t="shared" si="2"/>
        <v>79.668523313233806</v>
      </c>
      <c r="E24" s="33">
        <f t="shared" si="3"/>
        <v>106.22469775097841</v>
      </c>
      <c r="F24" s="31">
        <f t="shared" si="4"/>
        <v>132.78087218872301</v>
      </c>
      <c r="G24" s="110">
        <f t="shared" si="5"/>
        <v>159.33704662646761</v>
      </c>
      <c r="H24" s="111">
        <f t="shared" si="6"/>
        <v>185.89322106421221</v>
      </c>
    </row>
  </sheetData>
  <sheetProtection selectLockedCells="1"/>
  <mergeCells count="4">
    <mergeCell ref="C1:H1"/>
    <mergeCell ref="C2:E2"/>
    <mergeCell ref="F2:H2"/>
    <mergeCell ref="A1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6D8D-A1B2-464F-8292-B877434CB49D}">
  <sheetPr codeName="Sheet4"/>
  <dimension ref="A1:N21"/>
  <sheetViews>
    <sheetView topLeftCell="I1" zoomScaleNormal="100" workbookViewId="0">
      <selection activeCell="I4" sqref="I4"/>
    </sheetView>
  </sheetViews>
  <sheetFormatPr defaultRowHeight="15" x14ac:dyDescent="0.2"/>
  <cols>
    <col min="1" max="1" width="22.05859375" customWidth="1"/>
    <col min="2" max="2" width="10.4921875" customWidth="1"/>
    <col min="3" max="3" width="13.71875" bestFit="1" customWidth="1"/>
    <col min="4" max="4" width="14.9296875" bestFit="1" customWidth="1"/>
    <col min="5" max="5" width="14.390625" customWidth="1"/>
    <col min="6" max="6" width="13.85546875" bestFit="1" customWidth="1"/>
    <col min="7" max="7" width="9.01171875" bestFit="1" customWidth="1"/>
    <col min="8" max="8" width="13.85546875" bestFit="1" customWidth="1"/>
    <col min="9" max="9" width="10.0859375" bestFit="1" customWidth="1"/>
    <col min="10" max="10" width="18.16015625" customWidth="1"/>
    <col min="11" max="11" width="13.5859375" customWidth="1"/>
    <col min="12" max="12" width="23.26953125" bestFit="1" customWidth="1"/>
    <col min="13" max="13" width="9.68359375" bestFit="1" customWidth="1"/>
  </cols>
  <sheetData>
    <row r="1" spans="1:14" ht="30" customHeight="1" thickBot="1" x14ac:dyDescent="0.25">
      <c r="A1" s="211" t="s">
        <v>89</v>
      </c>
      <c r="B1" s="212"/>
      <c r="C1" s="83"/>
      <c r="D1" s="213" t="s">
        <v>90</v>
      </c>
      <c r="E1" s="214"/>
      <c r="F1" s="214"/>
      <c r="G1" s="215"/>
      <c r="H1" s="214" t="s">
        <v>91</v>
      </c>
      <c r="I1" s="214"/>
      <c r="J1" s="214"/>
      <c r="K1" s="215"/>
      <c r="L1" s="213" t="s">
        <v>92</v>
      </c>
      <c r="M1" s="215"/>
    </row>
    <row r="2" spans="1:14" s="1" customFormat="1" ht="30.6" customHeight="1" thickBot="1" x14ac:dyDescent="0.25">
      <c r="A2" s="127" t="s">
        <v>93</v>
      </c>
      <c r="B2" s="128">
        <v>13</v>
      </c>
      <c r="D2" s="112" t="s">
        <v>94</v>
      </c>
      <c r="E2" s="113">
        <f>1+(SUM(G11:G21)/1000)</f>
        <v>1.0620309999999999</v>
      </c>
      <c r="F2" s="114" t="s">
        <v>95</v>
      </c>
      <c r="G2" s="206">
        <f>(-1*616.868)+(1111.14*E2)-(630.272*E2^2)+(135.997*E2^3)</f>
        <v>15.214567906392574</v>
      </c>
      <c r="H2" s="134" t="s">
        <v>96</v>
      </c>
      <c r="I2" s="49">
        <f>G2/(1*B4/B3)</f>
        <v>16.788488724295256</v>
      </c>
      <c r="J2" s="2" t="s">
        <v>97</v>
      </c>
      <c r="K2" s="79" t="s">
        <v>86</v>
      </c>
      <c r="L2" s="10" t="s">
        <v>98</v>
      </c>
      <c r="M2" s="119">
        <f>IF(K2='Yeast Pitch Rate Ref '!L12,'Costs Ref'!D48,IF(K2='Yeast Pitch Rate Ref '!L13,'Costs Ref'!D49,IF('Grist and Pitch Calc''s'!K2='Yeast Pitch Rate Ref '!L14,'Costs Ref'!D50,"")))</f>
        <v>5.4949999999999999E-2</v>
      </c>
    </row>
    <row r="3" spans="1:14" s="1" customFormat="1" ht="30.6" customHeight="1" thickBot="1" x14ac:dyDescent="0.25">
      <c r="A3" s="120" t="s">
        <v>99</v>
      </c>
      <c r="B3" s="121">
        <v>16</v>
      </c>
      <c r="D3" s="4" t="s">
        <v>100</v>
      </c>
      <c r="E3" s="117">
        <f>(B2*4)/SUM(B11:B21)</f>
        <v>1.7931034482758621</v>
      </c>
      <c r="F3" s="116" t="s">
        <v>101</v>
      </c>
      <c r="G3" s="77"/>
      <c r="H3" s="204" t="s">
        <v>102</v>
      </c>
      <c r="I3" s="50">
        <f xml:space="preserve"> 1+ (I2 / (258.6-( (I2/258.2) *227.1) ) )</f>
        <v>1.0688522161842589</v>
      </c>
      <c r="J3" s="80" t="s">
        <v>103</v>
      </c>
      <c r="K3" s="118" t="s">
        <v>207</v>
      </c>
      <c r="L3" s="10" t="s">
        <v>104</v>
      </c>
      <c r="M3" s="61" t="s">
        <v>77</v>
      </c>
    </row>
    <row r="4" spans="1:14" s="1" customFormat="1" ht="30.6" customHeight="1" thickBot="1" x14ac:dyDescent="0.25">
      <c r="A4" s="120" t="s">
        <v>105</v>
      </c>
      <c r="B4" s="122">
        <f>B3-E7/40</f>
        <v>14.5</v>
      </c>
      <c r="D4" s="4" t="s">
        <v>106</v>
      </c>
      <c r="E4" s="117">
        <f>E3*2.055</f>
        <v>3.6848275862068971</v>
      </c>
      <c r="F4" s="116" t="s">
        <v>107</v>
      </c>
      <c r="G4" s="77"/>
      <c r="H4" s="134" t="s">
        <v>108</v>
      </c>
      <c r="I4" s="51">
        <f>1.4922*(SUM(I11:I21))^0.6859</f>
        <v>4.104854283596433</v>
      </c>
      <c r="J4" s="2" t="s">
        <v>109</v>
      </c>
      <c r="K4" s="81">
        <v>0.8</v>
      </c>
      <c r="L4" s="10" t="s">
        <v>110</v>
      </c>
      <c r="M4" s="61" t="s">
        <v>85</v>
      </c>
      <c r="N4" s="48"/>
    </row>
    <row r="5" spans="1:14" s="1" customFormat="1" ht="30.6" customHeight="1" thickBot="1" x14ac:dyDescent="0.25">
      <c r="A5" s="120" t="s">
        <v>111</v>
      </c>
      <c r="B5" s="123">
        <v>1.0649999999999999</v>
      </c>
      <c r="D5" s="115" t="s">
        <v>112</v>
      </c>
      <c r="E5" s="136">
        <v>149</v>
      </c>
      <c r="G5" s="77"/>
      <c r="H5" s="205"/>
      <c r="I5" s="84"/>
      <c r="J5" s="2" t="s">
        <v>113</v>
      </c>
      <c r="K5" s="79">
        <v>67</v>
      </c>
      <c r="L5" s="11" t="s">
        <v>114</v>
      </c>
      <c r="M5" s="56">
        <f>IF(M3="Ale",_xlfn.XLOOKUP(M4,'Yeast Pitch Rate Ref '!L7:L9,'Yeast Pitch Rate Ref '!M7:M9,),IF('Grist and Pitch Calc''s'!M3="Lager",_xlfn.XLOOKUP('Grist and Pitch Calc''s'!M4,'Yeast Pitch Rate Ref '!L7:L9,'Yeast Pitch Rate Ref '!N7:N9),"Check Spelling"))</f>
        <v>0.75</v>
      </c>
    </row>
    <row r="6" spans="1:14" s="1" customFormat="1" ht="30.6" customHeight="1" thickBot="1" x14ac:dyDescent="0.25">
      <c r="A6" s="120" t="s">
        <v>115</v>
      </c>
      <c r="B6" s="124">
        <f>(B5-1)*1000</f>
        <v>64.999999999999943</v>
      </c>
      <c r="D6" s="4" t="s">
        <v>116</v>
      </c>
      <c r="E6" s="137">
        <v>75</v>
      </c>
      <c r="G6" s="77"/>
      <c r="I6" s="77"/>
      <c r="J6" s="2" t="s">
        <v>117</v>
      </c>
      <c r="K6" s="79">
        <v>75</v>
      </c>
      <c r="L6" s="4" t="s">
        <v>118</v>
      </c>
      <c r="M6" s="52">
        <f>ROUND(M5*I2*'Yeast Pitch Rate Ref '!J3*(Hops!G12),-1)</f>
        <v>570</v>
      </c>
    </row>
    <row r="7" spans="1:14" s="1" customFormat="1" ht="30.6" customHeight="1" thickBot="1" x14ac:dyDescent="0.25">
      <c r="A7" s="125" t="s">
        <v>119</v>
      </c>
      <c r="B7" s="126">
        <v>0.93</v>
      </c>
      <c r="D7" s="4" t="s">
        <v>203</v>
      </c>
      <c r="E7" s="137">
        <v>60</v>
      </c>
      <c r="F7" s="78"/>
      <c r="G7" s="207"/>
      <c r="J7" s="2" t="s">
        <v>120</v>
      </c>
      <c r="K7" s="82">
        <f>-(K4*(I3-1)-I3)</f>
        <v>1.0137704432368517</v>
      </c>
      <c r="L7" s="4" t="s">
        <v>121</v>
      </c>
      <c r="M7" s="12">
        <f>IF(K2='Yeast Pitch Rate Ref '!L12,IF(M6&lt;700,M2*200,M2*400),IF('Grist and Pitch Calc''s'!M6&lt;400,'Grist and Pitch Calc''s'!M2*100,IF(M6&lt;700,M2*200,M2*400)))</f>
        <v>10.99</v>
      </c>
    </row>
    <row r="8" spans="1:14" s="1" customFormat="1" ht="30.6" customHeight="1" thickBot="1" x14ac:dyDescent="0.25">
      <c r="H8" s="48"/>
      <c r="J8" s="44" t="s">
        <v>122</v>
      </c>
      <c r="K8" s="135">
        <f>((76.08 * (I3-K7) / (1.775-I3)) * (K7 / 0.794))/100</f>
        <v>7.577081120147186E-2</v>
      </c>
    </row>
    <row r="9" spans="1:14" ht="30" customHeight="1" thickBot="1" x14ac:dyDescent="0.25">
      <c r="A9" s="208" t="s">
        <v>123</v>
      </c>
      <c r="B9" s="209"/>
      <c r="C9" s="209"/>
      <c r="D9" s="209"/>
      <c r="E9" s="209"/>
      <c r="F9" s="209"/>
      <c r="G9" s="209"/>
      <c r="H9" s="209"/>
      <c r="I9" s="209"/>
      <c r="J9" s="209"/>
      <c r="K9" s="210"/>
    </row>
    <row r="10" spans="1:14" ht="41.45" customHeight="1" thickBot="1" x14ac:dyDescent="0.25">
      <c r="A10" s="129" t="s">
        <v>124</v>
      </c>
      <c r="B10" s="3" t="s">
        <v>125</v>
      </c>
      <c r="C10" s="3" t="s">
        <v>126</v>
      </c>
      <c r="D10" s="3" t="s">
        <v>127</v>
      </c>
      <c r="E10" s="3" t="s">
        <v>128</v>
      </c>
      <c r="F10" s="3" t="s">
        <v>129</v>
      </c>
      <c r="G10" s="3" t="s">
        <v>130</v>
      </c>
      <c r="H10" s="3" t="s">
        <v>131</v>
      </c>
      <c r="I10" s="3" t="s">
        <v>132</v>
      </c>
      <c r="J10" s="3" t="s">
        <v>133</v>
      </c>
      <c r="K10" s="130" t="s">
        <v>134</v>
      </c>
      <c r="L10" s="134" t="s">
        <v>135</v>
      </c>
      <c r="M10" s="85">
        <f>SUM(K11:K21)</f>
        <v>47.702363636363629</v>
      </c>
    </row>
    <row r="11" spans="1:14" x14ac:dyDescent="0.2">
      <c r="A11" s="131" t="s">
        <v>24</v>
      </c>
      <c r="B11" s="59">
        <v>27</v>
      </c>
      <c r="C11" s="54">
        <f>IFERROR(B11/SUM($B$11:$B$21),"")</f>
        <v>0.93103448275862066</v>
      </c>
      <c r="D11" s="153">
        <f>_xlfn.XLOOKUP('Grist and Pitch Calc''s'!A11,'Costs Ref'!$A$4:$A$22,'Costs Ref'!$F$4:$F$22,"")</f>
        <v>0.8</v>
      </c>
      <c r="E11" s="53">
        <f t="shared" ref="E11:E21" si="0">IFERROR(46*D11,"")</f>
        <v>36.800000000000004</v>
      </c>
      <c r="F11" s="53">
        <f>IFERROR(E11*$B$7,"")</f>
        <v>34.224000000000004</v>
      </c>
      <c r="G11" s="35">
        <f t="shared" ref="G11:G21" si="1">IFERROR(F11*(B11/$B$3),"")</f>
        <v>57.753000000000007</v>
      </c>
      <c r="H11" s="151">
        <f>_xlfn.XLOOKUP(A11,'Costs Ref'!$A$4:$A$22,'Costs Ref'!$G$4:$G$22,"")</f>
        <v>2.2000000000000002</v>
      </c>
      <c r="I11" s="35">
        <f>IFERROR(H11*B11/$B$4,"")</f>
        <v>4.0965517241379317</v>
      </c>
      <c r="J11" s="152">
        <f>_xlfn.XLOOKUP(A11,'Costs Ref'!$A$4:$A$22,'Costs Ref'!$D$4:$D$22,"")</f>
        <v>1.5452727272727271</v>
      </c>
      <c r="K11" s="132">
        <f>IFERROR(J11*B11,"")</f>
        <v>41.722363636363632</v>
      </c>
    </row>
    <row r="12" spans="1:14" x14ac:dyDescent="0.2">
      <c r="A12" s="131" t="s">
        <v>18</v>
      </c>
      <c r="B12" s="59">
        <v>2</v>
      </c>
      <c r="C12" s="54">
        <f t="shared" ref="C12:C21" si="2">IFERROR(B12/SUM($B$11:$B$21),"")</f>
        <v>6.8965517241379309E-2</v>
      </c>
      <c r="D12" s="153">
        <f>_xlfn.XLOOKUP('Grist and Pitch Calc''s'!A12,'Costs Ref'!$A$4:$A$22,'Costs Ref'!$F$4:$F$22,"")</f>
        <v>0.8</v>
      </c>
      <c r="E12" s="53">
        <f t="shared" si="0"/>
        <v>36.800000000000004</v>
      </c>
      <c r="F12" s="53">
        <f>IFERROR(E12*$B$7,"")</f>
        <v>34.224000000000004</v>
      </c>
      <c r="G12" s="35">
        <f t="shared" si="1"/>
        <v>4.2780000000000005</v>
      </c>
      <c r="H12" s="151">
        <f>_xlfn.XLOOKUP(A12,'Costs Ref'!$A$4:$A$22,'Costs Ref'!$G$4:$G$22,"")</f>
        <v>2</v>
      </c>
      <c r="I12" s="35">
        <f t="shared" ref="I12:I21" si="3">IFERROR(H12*B12/$B$4,"")</f>
        <v>0.27586206896551724</v>
      </c>
      <c r="J12" s="152">
        <f>_xlfn.XLOOKUP(A12,'Costs Ref'!$A$4:$A$22,'Costs Ref'!$D$4:$D$22,"")</f>
        <v>2.99</v>
      </c>
      <c r="K12" s="132">
        <f t="shared" ref="K12:K21" si="4">IFERROR(J12*B12,"")</f>
        <v>5.98</v>
      </c>
    </row>
    <row r="13" spans="1:14" x14ac:dyDescent="0.2">
      <c r="A13" s="131"/>
      <c r="B13" s="59"/>
      <c r="C13" s="54">
        <f t="shared" si="2"/>
        <v>0</v>
      </c>
      <c r="D13" s="153" t="str">
        <f>_xlfn.XLOOKUP('Grist and Pitch Calc''s'!A13,'Costs Ref'!$A$4:$A$22,'Costs Ref'!$F$4:$F$22,"")</f>
        <v/>
      </c>
      <c r="E13" s="53" t="str">
        <f t="shared" si="0"/>
        <v/>
      </c>
      <c r="F13" s="53" t="str">
        <f t="shared" ref="F13:F21" si="5">IFERROR(E13*$B$7,"")</f>
        <v/>
      </c>
      <c r="G13" s="35" t="str">
        <f t="shared" si="1"/>
        <v/>
      </c>
      <c r="H13" s="151" t="str">
        <f>_xlfn.XLOOKUP(A13,'Costs Ref'!$A$4:$A$22,'Costs Ref'!$G$4:$G$22,"")</f>
        <v/>
      </c>
      <c r="I13" s="35" t="str">
        <f t="shared" si="3"/>
        <v/>
      </c>
      <c r="J13" s="152" t="str">
        <f>_xlfn.XLOOKUP(A13,'Costs Ref'!$A$4:$A$22,'Costs Ref'!$D$4:$D$22,"")</f>
        <v/>
      </c>
      <c r="K13" s="132" t="str">
        <f t="shared" si="4"/>
        <v/>
      </c>
    </row>
    <row r="14" spans="1:14" x14ac:dyDescent="0.2">
      <c r="A14" s="131"/>
      <c r="B14" s="59"/>
      <c r="C14" s="54">
        <f t="shared" si="2"/>
        <v>0</v>
      </c>
      <c r="D14" s="153" t="str">
        <f>_xlfn.XLOOKUP('Grist and Pitch Calc''s'!A14,'Costs Ref'!$A$4:$A$22,'Costs Ref'!$F$4:$F$22,"")</f>
        <v/>
      </c>
      <c r="E14" s="53" t="str">
        <f t="shared" si="0"/>
        <v/>
      </c>
      <c r="F14" s="53" t="str">
        <f t="shared" si="5"/>
        <v/>
      </c>
      <c r="G14" s="35" t="str">
        <f t="shared" si="1"/>
        <v/>
      </c>
      <c r="H14" s="151" t="str">
        <f>_xlfn.XLOOKUP(A14,'Costs Ref'!$A$4:$A$22,'Costs Ref'!$G$4:$G$22,"")</f>
        <v/>
      </c>
      <c r="I14" s="35" t="str">
        <f t="shared" si="3"/>
        <v/>
      </c>
      <c r="J14" s="152" t="str">
        <f>_xlfn.XLOOKUP(A14,'Costs Ref'!$A$4:$A$22,'Costs Ref'!$D$4:$D$22,"")</f>
        <v/>
      </c>
      <c r="K14" s="132" t="str">
        <f t="shared" si="4"/>
        <v/>
      </c>
    </row>
    <row r="15" spans="1:14" x14ac:dyDescent="0.2">
      <c r="A15" s="131"/>
      <c r="B15" s="59"/>
      <c r="C15" s="54">
        <f t="shared" si="2"/>
        <v>0</v>
      </c>
      <c r="D15" s="153" t="str">
        <f>_xlfn.XLOOKUP('Grist and Pitch Calc''s'!A15,'Costs Ref'!$A$4:$A$22,'Costs Ref'!$F$4:$F$22,"")</f>
        <v/>
      </c>
      <c r="E15" s="53" t="str">
        <f t="shared" si="0"/>
        <v/>
      </c>
      <c r="F15" s="53" t="str">
        <f t="shared" si="5"/>
        <v/>
      </c>
      <c r="G15" s="35" t="str">
        <f t="shared" si="1"/>
        <v/>
      </c>
      <c r="H15" s="151" t="str">
        <f>_xlfn.XLOOKUP(A15,'Costs Ref'!$A$4:$A$22,'Costs Ref'!$G$4:$G$22,"")</f>
        <v/>
      </c>
      <c r="I15" s="35" t="str">
        <f t="shared" si="3"/>
        <v/>
      </c>
      <c r="J15" s="152" t="str">
        <f>_xlfn.XLOOKUP(A15,'Costs Ref'!$A$4:$A$22,'Costs Ref'!$D$4:$D$22,"")</f>
        <v/>
      </c>
      <c r="K15" s="132" t="str">
        <f t="shared" si="4"/>
        <v/>
      </c>
    </row>
    <row r="16" spans="1:14" x14ac:dyDescent="0.2">
      <c r="A16" s="131"/>
      <c r="B16" s="59"/>
      <c r="C16" s="54">
        <f t="shared" si="2"/>
        <v>0</v>
      </c>
      <c r="D16" s="153" t="str">
        <f>_xlfn.XLOOKUP('Grist and Pitch Calc''s'!A16,'Costs Ref'!$A$4:$A$22,'Costs Ref'!$F$4:$F$22,"")</f>
        <v/>
      </c>
      <c r="E16" s="53" t="str">
        <f t="shared" si="0"/>
        <v/>
      </c>
      <c r="F16" s="53" t="str">
        <f t="shared" si="5"/>
        <v/>
      </c>
      <c r="G16" s="35" t="str">
        <f t="shared" si="1"/>
        <v/>
      </c>
      <c r="H16" s="151" t="str">
        <f>_xlfn.XLOOKUP(A16,'Costs Ref'!$A$4:$A$22,'Costs Ref'!$G$4:$G$22,"")</f>
        <v/>
      </c>
      <c r="I16" s="35" t="str">
        <f t="shared" si="3"/>
        <v/>
      </c>
      <c r="J16" s="152" t="str">
        <f>_xlfn.XLOOKUP(A16,'Costs Ref'!$A$4:$A$22,'Costs Ref'!$D$4:$D$22,"")</f>
        <v/>
      </c>
      <c r="K16" s="132" t="str">
        <f t="shared" si="4"/>
        <v/>
      </c>
    </row>
    <row r="17" spans="1:11" x14ac:dyDescent="0.2">
      <c r="A17" s="131"/>
      <c r="B17" s="59"/>
      <c r="C17" s="54">
        <f t="shared" si="2"/>
        <v>0</v>
      </c>
      <c r="D17" s="153" t="str">
        <f>_xlfn.XLOOKUP('Grist and Pitch Calc''s'!A17,'Costs Ref'!$A$4:$A$22,'Costs Ref'!$F$4:$F$22,"")</f>
        <v/>
      </c>
      <c r="E17" s="53" t="str">
        <f t="shared" si="0"/>
        <v/>
      </c>
      <c r="F17" s="53" t="str">
        <f t="shared" si="5"/>
        <v/>
      </c>
      <c r="G17" s="35" t="str">
        <f t="shared" si="1"/>
        <v/>
      </c>
      <c r="H17" s="151" t="str">
        <f>_xlfn.XLOOKUP(A17,'Costs Ref'!$A$4:$A$22,'Costs Ref'!$G$4:$G$22,"")</f>
        <v/>
      </c>
      <c r="I17" s="35" t="str">
        <f t="shared" si="3"/>
        <v/>
      </c>
      <c r="J17" s="152" t="str">
        <f>_xlfn.XLOOKUP(A17,'Costs Ref'!$A$4:$A$22,'Costs Ref'!$D$4:$D$22,"")</f>
        <v/>
      </c>
      <c r="K17" s="132" t="str">
        <f t="shared" si="4"/>
        <v/>
      </c>
    </row>
    <row r="18" spans="1:11" x14ac:dyDescent="0.2">
      <c r="A18" s="131"/>
      <c r="B18" s="59"/>
      <c r="C18" s="54">
        <f t="shared" si="2"/>
        <v>0</v>
      </c>
      <c r="D18" s="153" t="str">
        <f>_xlfn.XLOOKUP('Grist and Pitch Calc''s'!A18,'Costs Ref'!$A$4:$A$22,'Costs Ref'!$F$4:$F$22,"")</f>
        <v/>
      </c>
      <c r="E18" s="53" t="str">
        <f t="shared" si="0"/>
        <v/>
      </c>
      <c r="F18" s="53" t="str">
        <f t="shared" si="5"/>
        <v/>
      </c>
      <c r="G18" s="35" t="str">
        <f t="shared" si="1"/>
        <v/>
      </c>
      <c r="H18" s="151" t="str">
        <f>_xlfn.XLOOKUP(A18,'Costs Ref'!$A$4:$A$22,'Costs Ref'!$G$4:$G$22,"")</f>
        <v/>
      </c>
      <c r="I18" s="35" t="str">
        <f t="shared" si="3"/>
        <v/>
      </c>
      <c r="J18" s="152" t="str">
        <f>_xlfn.XLOOKUP(A18,'Costs Ref'!$A$4:$A$22,'Costs Ref'!$D$4:$D$22,"")</f>
        <v/>
      </c>
      <c r="K18" s="132" t="str">
        <f t="shared" si="4"/>
        <v/>
      </c>
    </row>
    <row r="19" spans="1:11" x14ac:dyDescent="0.2">
      <c r="A19" s="131"/>
      <c r="B19" s="59"/>
      <c r="C19" s="54">
        <f t="shared" si="2"/>
        <v>0</v>
      </c>
      <c r="D19" s="153" t="str">
        <f>_xlfn.XLOOKUP('Grist and Pitch Calc''s'!A19,'Costs Ref'!$A$4:$A$22,'Costs Ref'!$F$4:$F$22,"")</f>
        <v/>
      </c>
      <c r="E19" s="53" t="str">
        <f t="shared" si="0"/>
        <v/>
      </c>
      <c r="F19" s="53" t="str">
        <f t="shared" si="5"/>
        <v/>
      </c>
      <c r="G19" s="35" t="str">
        <f t="shared" si="1"/>
        <v/>
      </c>
      <c r="H19" s="151" t="str">
        <f>_xlfn.XLOOKUP(A19,'Costs Ref'!$A$4:$A$22,'Costs Ref'!$G$4:$G$22,"")</f>
        <v/>
      </c>
      <c r="I19" s="35" t="str">
        <f t="shared" si="3"/>
        <v/>
      </c>
      <c r="J19" s="152" t="str">
        <f>_xlfn.XLOOKUP(A19,'Costs Ref'!$A$4:$A$22,'Costs Ref'!$D$4:$D$22,"")</f>
        <v/>
      </c>
      <c r="K19" s="132" t="str">
        <f t="shared" si="4"/>
        <v/>
      </c>
    </row>
    <row r="20" spans="1:11" x14ac:dyDescent="0.2">
      <c r="A20" s="131"/>
      <c r="B20" s="59"/>
      <c r="C20" s="54">
        <f t="shared" si="2"/>
        <v>0</v>
      </c>
      <c r="D20" s="153" t="str">
        <f>_xlfn.XLOOKUP('Grist and Pitch Calc''s'!A20,'Costs Ref'!$A$4:$A$22,'Costs Ref'!$F$4:$F$22,"")</f>
        <v/>
      </c>
      <c r="E20" s="53" t="str">
        <f t="shared" si="0"/>
        <v/>
      </c>
      <c r="F20" s="53" t="str">
        <f t="shared" si="5"/>
        <v/>
      </c>
      <c r="G20" s="35" t="str">
        <f t="shared" si="1"/>
        <v/>
      </c>
      <c r="H20" s="151" t="str">
        <f>_xlfn.XLOOKUP(A20,'Costs Ref'!$A$4:$A$22,'Costs Ref'!$G$4:$G$22,"")</f>
        <v/>
      </c>
      <c r="I20" s="35" t="str">
        <f t="shared" si="3"/>
        <v/>
      </c>
      <c r="J20" s="152" t="str">
        <f>_xlfn.XLOOKUP(A20,'Costs Ref'!$A$4:$A$22,'Costs Ref'!$D$4:$D$22,"")</f>
        <v/>
      </c>
      <c r="K20" s="132" t="str">
        <f t="shared" si="4"/>
        <v/>
      </c>
    </row>
    <row r="21" spans="1:11" ht="15.75" thickBot="1" x14ac:dyDescent="0.25">
      <c r="A21" s="131"/>
      <c r="B21" s="133"/>
      <c r="C21" s="54">
        <f t="shared" si="2"/>
        <v>0</v>
      </c>
      <c r="D21" s="153" t="str">
        <f>_xlfn.XLOOKUP('Grist and Pitch Calc''s'!A21,'Costs Ref'!$A$4:$A$22,'Costs Ref'!$F$4:$F$22,"")</f>
        <v/>
      </c>
      <c r="E21" s="53" t="str">
        <f t="shared" si="0"/>
        <v/>
      </c>
      <c r="F21" s="53" t="str">
        <f t="shared" si="5"/>
        <v/>
      </c>
      <c r="G21" s="35" t="str">
        <f t="shared" si="1"/>
        <v/>
      </c>
      <c r="H21" s="151" t="str">
        <f>_xlfn.XLOOKUP(A21,'Costs Ref'!$A$4:$A$22,'Costs Ref'!$G$4:$G$22,"")</f>
        <v/>
      </c>
      <c r="I21" s="35" t="str">
        <f t="shared" si="3"/>
        <v/>
      </c>
      <c r="J21" s="152" t="str">
        <f>_xlfn.XLOOKUP(A21,'Costs Ref'!$A$4:$A$22,'Costs Ref'!$D$4:$D$22,"")</f>
        <v/>
      </c>
      <c r="K21" s="132" t="str">
        <f t="shared" si="4"/>
        <v/>
      </c>
    </row>
  </sheetData>
  <sheetProtection selectLockedCells="1"/>
  <mergeCells count="5">
    <mergeCell ref="A9:K9"/>
    <mergeCell ref="A1:B1"/>
    <mergeCell ref="D1:G1"/>
    <mergeCell ref="H1:K1"/>
    <mergeCell ref="L1:M1"/>
  </mergeCell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54F5DB5-85A2-4DAD-930F-FEE3FF567C04}">
          <x14:formula1>
            <xm:f>'Yeast Pitch Rate Ref '!$L$7:$L$9</xm:f>
          </x14:formula1>
          <xm:sqref>M4</xm:sqref>
        </x14:dataValidation>
        <x14:dataValidation type="list" allowBlank="1" showInputMessage="1" showErrorMessage="1" xr:uid="{4EFBBB48-EB20-48B5-A67D-4B2E7FA8C965}">
          <x14:formula1>
            <xm:f>'Yeast Pitch Rate Ref '!$L$3:$L$4</xm:f>
          </x14:formula1>
          <xm:sqref>M3</xm:sqref>
        </x14:dataValidation>
        <x14:dataValidation type="list" allowBlank="1" showInputMessage="1" showErrorMessage="1" xr:uid="{5D27FDBA-7E7D-4A20-AF97-2EE0EED585FD}">
          <x14:formula1>
            <xm:f>'Yeast Pitch Rate Ref '!$L$12:$L$14</xm:f>
          </x14:formula1>
          <xm:sqref>K2</xm:sqref>
        </x14:dataValidation>
        <x14:dataValidation type="list" allowBlank="1" showInputMessage="1" showErrorMessage="1" xr:uid="{173F79A5-D837-44F0-A38C-B001152FED34}">
          <x14:formula1>
            <xm:f>'Costs Ref'!$A$4:$A$22</xm:f>
          </x14:formula1>
          <xm:sqref>A11:A21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09505-694F-4DFF-B7E5-DF10839D9A30}">
  <sheetPr codeName="Sheet1"/>
  <dimension ref="A1:T23"/>
  <sheetViews>
    <sheetView workbookViewId="0">
      <selection activeCell="L16" sqref="L16"/>
    </sheetView>
  </sheetViews>
  <sheetFormatPr defaultRowHeight="15" x14ac:dyDescent="0.2"/>
  <cols>
    <col min="1" max="1" width="12.64453125" customWidth="1"/>
    <col min="2" max="2" width="5.6484375" customWidth="1"/>
    <col min="14" max="14" width="18.6953125" bestFit="1" customWidth="1"/>
    <col min="15" max="15" width="16.140625" customWidth="1"/>
    <col min="16" max="16" width="13.98828125" bestFit="1" customWidth="1"/>
    <col min="17" max="17" width="9.4140625" customWidth="1"/>
    <col min="18" max="18" width="15.6015625" customWidth="1"/>
  </cols>
  <sheetData>
    <row r="1" spans="1:20" ht="14.45" customHeight="1" thickBot="1" x14ac:dyDescent="0.25">
      <c r="A1" s="251" t="s">
        <v>136</v>
      </c>
      <c r="B1" s="252"/>
      <c r="C1" s="255" t="s">
        <v>137</v>
      </c>
      <c r="D1" s="256"/>
      <c r="E1" s="256"/>
      <c r="F1" s="256"/>
      <c r="G1" s="256"/>
      <c r="H1" s="256"/>
      <c r="I1" s="256"/>
      <c r="J1" s="256"/>
      <c r="K1" s="256"/>
      <c r="L1" s="256"/>
      <c r="N1" s="257" t="s">
        <v>138</v>
      </c>
      <c r="O1" s="257"/>
      <c r="P1" s="257"/>
      <c r="Q1" s="258"/>
      <c r="R1" s="259"/>
      <c r="S1" s="62"/>
      <c r="T1" s="63"/>
    </row>
    <row r="2" spans="1:20" x14ac:dyDescent="0.2">
      <c r="A2" s="253"/>
      <c r="B2" s="254"/>
      <c r="C2" s="36">
        <v>1</v>
      </c>
      <c r="D2" s="37">
        <v>2</v>
      </c>
      <c r="E2" s="37">
        <v>3</v>
      </c>
      <c r="F2" s="37">
        <v>4</v>
      </c>
      <c r="G2" s="37">
        <v>5</v>
      </c>
      <c r="H2" s="37">
        <v>6</v>
      </c>
      <c r="I2" s="37">
        <v>7</v>
      </c>
      <c r="J2" s="37">
        <v>8</v>
      </c>
      <c r="K2" s="37">
        <v>9</v>
      </c>
      <c r="L2" s="37">
        <v>10</v>
      </c>
      <c r="N2" s="37" t="s">
        <v>139</v>
      </c>
      <c r="O2" s="37" t="s">
        <v>140</v>
      </c>
      <c r="P2" s="39" t="s">
        <v>141</v>
      </c>
      <c r="Q2" s="40" t="s">
        <v>142</v>
      </c>
      <c r="R2" s="42" t="s">
        <v>143</v>
      </c>
      <c r="S2" s="64"/>
      <c r="T2" s="65"/>
    </row>
    <row r="3" spans="1:20" ht="15.75" thickBot="1" x14ac:dyDescent="0.25">
      <c r="A3" s="260" t="s">
        <v>144</v>
      </c>
      <c r="B3" s="38">
        <v>1</v>
      </c>
      <c r="C3" s="138">
        <v>2.5299999999999998</v>
      </c>
      <c r="D3" s="138">
        <v>3.11</v>
      </c>
      <c r="E3" s="138">
        <v>3.54</v>
      </c>
      <c r="F3" s="138">
        <v>3.9</v>
      </c>
      <c r="G3" s="138"/>
      <c r="H3" s="138"/>
      <c r="I3" s="138"/>
      <c r="J3" s="138"/>
      <c r="K3" s="138"/>
      <c r="L3" s="138"/>
      <c r="N3" s="41" t="str">
        <f>IF('Grist and Pitch Calc''s'!M6&lt;250,"Do Not Use",IF('Grist and Pitch Calc''s'!M6&lt;400,'Grist and Pitch Calc''s'!M6,IF('Grist and Pitch Calc''s'!M6&lt;500,'Grist and Pitch Calc''s'!M6-100,IF('Grist and Pitch Calc''s'!M6&gt;500,"Do Not Use"))))</f>
        <v>Do Not Use</v>
      </c>
      <c r="O3" s="58" t="str">
        <f>IFERROR(N3/100,"Do Not Use")</f>
        <v>Do Not Use</v>
      </c>
      <c r="P3" s="140">
        <f>-0.055*Q3^2 + 0.729*Q3 + 1.86</f>
        <v>1.86</v>
      </c>
      <c r="Q3" s="145"/>
      <c r="R3" s="43">
        <f>Q3*115</f>
        <v>0</v>
      </c>
      <c r="S3" s="64"/>
      <c r="T3" s="65"/>
    </row>
    <row r="4" spans="1:20" x14ac:dyDescent="0.2">
      <c r="A4" s="256"/>
      <c r="B4" s="14">
        <v>2</v>
      </c>
      <c r="C4" s="138">
        <v>2.12</v>
      </c>
      <c r="D4" s="138">
        <v>2.5299999999999998</v>
      </c>
      <c r="E4" s="138">
        <v>2.85</v>
      </c>
      <c r="F4" s="138">
        <v>3.11</v>
      </c>
      <c r="G4" s="138">
        <v>3.34</v>
      </c>
      <c r="H4" s="138"/>
      <c r="I4" s="138"/>
      <c r="J4" s="138"/>
      <c r="K4" s="138"/>
      <c r="L4" s="138"/>
      <c r="S4" s="64"/>
      <c r="T4" s="65"/>
    </row>
    <row r="5" spans="1:20" ht="15.75" thickBot="1" x14ac:dyDescent="0.25">
      <c r="A5" s="256"/>
      <c r="B5" s="14">
        <v>3</v>
      </c>
      <c r="C5" s="138"/>
      <c r="D5" s="138"/>
      <c r="E5" s="138"/>
      <c r="F5" s="138"/>
      <c r="G5" s="138"/>
      <c r="H5" s="138"/>
      <c r="I5" s="138"/>
      <c r="J5" s="138"/>
      <c r="K5" s="138"/>
      <c r="L5" s="138"/>
      <c r="N5" s="257" t="s">
        <v>145</v>
      </c>
      <c r="O5" s="257"/>
      <c r="P5" s="257"/>
      <c r="Q5" s="258"/>
      <c r="R5" s="259"/>
      <c r="S5" s="64"/>
      <c r="T5" s="65"/>
    </row>
    <row r="6" spans="1:20" x14ac:dyDescent="0.2">
      <c r="A6" s="256"/>
      <c r="B6" s="14">
        <v>4</v>
      </c>
      <c r="C6" s="138"/>
      <c r="D6" s="138"/>
      <c r="E6" s="138">
        <v>2.35</v>
      </c>
      <c r="F6" s="138">
        <v>2.5299999999999998</v>
      </c>
      <c r="G6" s="138">
        <v>2.698</v>
      </c>
      <c r="H6" s="138"/>
      <c r="I6" s="138"/>
      <c r="J6" s="138"/>
      <c r="K6" s="138"/>
      <c r="L6" s="138"/>
      <c r="N6" s="37" t="s">
        <v>139</v>
      </c>
      <c r="O6" s="37" t="s">
        <v>140</v>
      </c>
      <c r="P6" s="39" t="s">
        <v>141</v>
      </c>
      <c r="Q6" s="40" t="s">
        <v>142</v>
      </c>
      <c r="R6" s="42" t="s">
        <v>143</v>
      </c>
      <c r="S6" s="64"/>
      <c r="T6" s="65"/>
    </row>
    <row r="7" spans="1:20" ht="15.75" thickBot="1" x14ac:dyDescent="0.25">
      <c r="A7" s="256"/>
      <c r="B7" s="14">
        <v>5</v>
      </c>
      <c r="C7" s="138"/>
      <c r="D7" s="138"/>
      <c r="E7" s="138"/>
      <c r="F7" s="138"/>
      <c r="G7" s="138"/>
      <c r="H7" s="138"/>
      <c r="I7" s="138"/>
      <c r="J7" s="138"/>
      <c r="K7" s="138"/>
      <c r="L7" s="138"/>
      <c r="N7" s="41">
        <f>IF('Grist and Pitch Calc''s'!M6&lt;400,"Do Not Use",IF('Grist and Pitch Calc''s'!M6&lt;700,'Grist and Pitch Calc''s'!M6,IF('Grist and Pitch Calc''s'!M6&lt;800,'Grist and Pitch Calc''s'!M6-200,IF('Grist and Pitch Calc''s'!M6&gt;800,"Do Not Use"))))</f>
        <v>570</v>
      </c>
      <c r="O7" s="58">
        <f>IFERROR(N7/200,"Do Not Use")</f>
        <v>2.85</v>
      </c>
      <c r="P7" s="140">
        <f>-0.03*Q7^2 + 0.482*Q7 + 1.674</f>
        <v>2.8497065582831569</v>
      </c>
      <c r="Q7" s="145">
        <v>2.9990284324551721</v>
      </c>
      <c r="R7" s="43">
        <f>Q7*115</f>
        <v>344.88826973234478</v>
      </c>
      <c r="S7" s="64"/>
      <c r="T7" s="65"/>
    </row>
    <row r="8" spans="1:20" x14ac:dyDescent="0.2">
      <c r="S8" s="64"/>
      <c r="T8" s="65"/>
    </row>
    <row r="9" spans="1:20" ht="15.75" thickBot="1" x14ac:dyDescent="0.25">
      <c r="J9" t="s">
        <v>146</v>
      </c>
      <c r="N9" s="257" t="s">
        <v>147</v>
      </c>
      <c r="O9" s="257"/>
      <c r="P9" s="257"/>
      <c r="Q9" s="258"/>
      <c r="R9" s="259"/>
      <c r="S9" s="64"/>
      <c r="T9" s="65"/>
    </row>
    <row r="10" spans="1:20" ht="14.45" customHeight="1" x14ac:dyDescent="0.2">
      <c r="J10" s="71" t="s">
        <v>148</v>
      </c>
      <c r="N10" s="37" t="s">
        <v>139</v>
      </c>
      <c r="O10" s="37" t="s">
        <v>140</v>
      </c>
      <c r="P10" s="39" t="s">
        <v>141</v>
      </c>
      <c r="Q10" s="40" t="s">
        <v>142</v>
      </c>
      <c r="R10" s="42" t="s">
        <v>143</v>
      </c>
      <c r="S10" s="64"/>
      <c r="T10" s="66"/>
    </row>
    <row r="11" spans="1:20" ht="15.75" thickBot="1" x14ac:dyDescent="0.25">
      <c r="N11" s="41" t="str">
        <f>IF('Grist and Pitch Calc''s'!M6&lt;800,"Do Not Use",IF('Grist and Pitch Calc''s'!M6&lt;=1000,'Grist and Pitch Calc''s'!M6,'Grist and Pitch Calc''s'!M6-200))</f>
        <v>Do Not Use</v>
      </c>
      <c r="O11" s="35" t="str">
        <f>IFERROR(N11/400,"Do Not Use")</f>
        <v>Do Not Use</v>
      </c>
      <c r="P11" s="140">
        <f xml:space="preserve"> -0.006*Q11^2 + 0.222*Q11 + 1.738</f>
        <v>1.738</v>
      </c>
      <c r="Q11" s="145"/>
      <c r="R11" s="43">
        <f>Q11*115</f>
        <v>0</v>
      </c>
      <c r="S11" s="67"/>
      <c r="T11" s="68"/>
    </row>
    <row r="12" spans="1:20" ht="15.75" thickBot="1" x14ac:dyDescent="0.25"/>
    <row r="13" spans="1:20" x14ac:dyDescent="0.2">
      <c r="N13" s="239" t="s">
        <v>149</v>
      </c>
      <c r="O13" s="240"/>
      <c r="P13" s="240"/>
      <c r="Q13" s="240"/>
      <c r="R13" s="241"/>
    </row>
    <row r="14" spans="1:20" ht="15.75" thickBot="1" x14ac:dyDescent="0.25">
      <c r="N14" s="242"/>
      <c r="O14" s="243"/>
      <c r="P14" s="243"/>
      <c r="Q14" s="243"/>
      <c r="R14" s="244"/>
    </row>
    <row r="15" spans="1:20" ht="15.75" thickBot="1" x14ac:dyDescent="0.25"/>
    <row r="16" spans="1:20" ht="14.45" customHeight="1" x14ac:dyDescent="0.2">
      <c r="N16" s="245" t="s">
        <v>150</v>
      </c>
      <c r="O16" s="246"/>
      <c r="P16" s="246"/>
      <c r="Q16" s="246"/>
      <c r="R16" s="247"/>
    </row>
    <row r="17" spans="14:18" ht="15.75" thickBot="1" x14ac:dyDescent="0.25">
      <c r="N17" s="248"/>
      <c r="O17" s="249"/>
      <c r="P17" s="249"/>
      <c r="Q17" s="249"/>
      <c r="R17" s="250"/>
    </row>
    <row r="18" spans="14:18" ht="15.75" thickBot="1" x14ac:dyDescent="0.25"/>
    <row r="19" spans="14:18" x14ac:dyDescent="0.2">
      <c r="N19" s="233" t="s">
        <v>151</v>
      </c>
      <c r="O19" s="234"/>
      <c r="P19" s="234"/>
      <c r="Q19" s="234"/>
      <c r="R19" s="235"/>
    </row>
    <row r="20" spans="14:18" ht="15.75" thickBot="1" x14ac:dyDescent="0.25">
      <c r="N20" s="236"/>
      <c r="O20" s="237"/>
      <c r="P20" s="237"/>
      <c r="Q20" s="237"/>
      <c r="R20" s="238"/>
    </row>
    <row r="23" spans="14:18" x14ac:dyDescent="0.2">
      <c r="N23" s="55"/>
    </row>
  </sheetData>
  <sheetProtection selectLockedCells="1"/>
  <mergeCells count="9">
    <mergeCell ref="N19:R20"/>
    <mergeCell ref="N13:R14"/>
    <mergeCell ref="N16:R17"/>
    <mergeCell ref="A1:B2"/>
    <mergeCell ref="C1:L1"/>
    <mergeCell ref="N5:R5"/>
    <mergeCell ref="A3:A7"/>
    <mergeCell ref="N9:R9"/>
    <mergeCell ref="N1:R1"/>
  </mergeCells>
  <conditionalFormatting sqref="N11 N7">
    <cfRule type="containsText" dxfId="1" priority="3" operator="containsText" text="Do Not Use">
      <formula>NOT(ISERROR(SEARCH("Do Not Use",N7)))</formula>
    </cfRule>
  </conditionalFormatting>
  <conditionalFormatting sqref="N3">
    <cfRule type="containsText" dxfId="0" priority="1" operator="containsText" text="Do Not Use">
      <formula>NOT(ISERROR(SEARCH("Do Not Use",N3)))</formula>
    </cfRule>
  </conditionalFormatting>
  <hyperlinks>
    <hyperlink ref="J10" r:id="rId1" display="https://www.morebeer.com/content/yeast_pitch_calculator" xr:uid="{0BE035F4-2ECD-4AA6-8F68-91E4D8109C89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6145" r:id="rId5" name="CommandButton1">
          <controlPr defaultSize="0" autoLine="0" autoPict="0" r:id="rId6">
            <anchor moveWithCells="1">
              <from>
                <xdr:col>18</xdr:col>
                <xdr:colOff>220980</xdr:colOff>
                <xdr:row>5</xdr:row>
                <xdr:rowOff>7620</xdr:rowOff>
              </from>
              <to>
                <xdr:col>19</xdr:col>
                <xdr:colOff>441960</xdr:colOff>
                <xdr:row>6</xdr:row>
                <xdr:rowOff>106680</xdr:rowOff>
              </to>
            </anchor>
          </controlPr>
        </control>
      </mc:Choice>
      <mc:Fallback>
        <control shapeId="6145" r:id="rId5" name="CommandButton1"/>
      </mc:Fallback>
    </mc:AlternateContent>
    <mc:AlternateContent xmlns:mc="http://schemas.openxmlformats.org/markup-compatibility/2006">
      <mc:Choice Requires="x14">
        <control shapeId="6146" r:id="rId7" name="CommandButton2">
          <controlPr defaultSize="0" autoLine="0" autoPict="0" r:id="rId8">
            <anchor moveWithCells="1">
              <from>
                <xdr:col>18</xdr:col>
                <xdr:colOff>236220</xdr:colOff>
                <xdr:row>8</xdr:row>
                <xdr:rowOff>60960</xdr:rowOff>
              </from>
              <to>
                <xdr:col>19</xdr:col>
                <xdr:colOff>449580</xdr:colOff>
                <xdr:row>9</xdr:row>
                <xdr:rowOff>175260</xdr:rowOff>
              </to>
            </anchor>
          </controlPr>
        </control>
      </mc:Choice>
      <mc:Fallback>
        <control shapeId="6146" r:id="rId7" name="CommandButton2"/>
      </mc:Fallback>
    </mc:AlternateContent>
    <mc:AlternateContent xmlns:mc="http://schemas.openxmlformats.org/markup-compatibility/2006">
      <mc:Choice Requires="x14">
        <control shapeId="6148" r:id="rId9" name="CommandButton3">
          <controlPr defaultSize="0" autoLine="0" autoPict="0" r:id="rId10">
            <anchor moveWithCells="1">
              <from>
                <xdr:col>18</xdr:col>
                <xdr:colOff>213360</xdr:colOff>
                <xdr:row>1</xdr:row>
                <xdr:rowOff>38100</xdr:rowOff>
              </from>
              <to>
                <xdr:col>19</xdr:col>
                <xdr:colOff>381000</xdr:colOff>
                <xdr:row>2</xdr:row>
                <xdr:rowOff>175260</xdr:rowOff>
              </to>
            </anchor>
          </controlPr>
        </control>
      </mc:Choice>
      <mc:Fallback>
        <control shapeId="6148" r:id="rId9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8E29E-F616-4745-84CD-1D6D5F053EE8}">
  <sheetPr codeName="Sheet5"/>
  <dimension ref="A1:P28"/>
  <sheetViews>
    <sheetView tabSelected="1" topLeftCell="G1" zoomScaleNormal="100" workbookViewId="0">
      <selection activeCell="J9" sqref="J9"/>
    </sheetView>
  </sheetViews>
  <sheetFormatPr defaultRowHeight="15" x14ac:dyDescent="0.2"/>
  <cols>
    <col min="1" max="1" width="12.64453125" bestFit="1" customWidth="1"/>
    <col min="2" max="2" width="12.9140625" bestFit="1" customWidth="1"/>
    <col min="3" max="3" width="27.3046875" style="46" customWidth="1"/>
    <col min="4" max="4" width="11.02734375" style="46" bestFit="1" customWidth="1"/>
    <col min="5" max="5" width="7.6640625" bestFit="1" customWidth="1"/>
    <col min="6" max="6" width="11.02734375" style="45" bestFit="1" customWidth="1"/>
    <col min="7" max="7" width="13.046875" customWidth="1"/>
    <col min="8" max="8" width="11.8359375" bestFit="1" customWidth="1"/>
    <col min="9" max="9" width="9.81640625" customWidth="1"/>
    <col min="10" max="10" width="10.0859375" customWidth="1"/>
    <col min="11" max="11" width="9.953125" bestFit="1" customWidth="1"/>
    <col min="14" max="14" width="7.93359375" customWidth="1"/>
    <col min="15" max="15" width="9.01171875" customWidth="1"/>
    <col min="16" max="16" width="7.93359375" bestFit="1" customWidth="1"/>
  </cols>
  <sheetData>
    <row r="1" spans="1:15" ht="15.75" thickBot="1" x14ac:dyDescent="0.25">
      <c r="A1" s="216" t="s">
        <v>152</v>
      </c>
      <c r="B1" s="217"/>
      <c r="C1" s="217"/>
      <c r="D1" s="217"/>
      <c r="E1" s="217"/>
      <c r="F1" s="217"/>
      <c r="G1" s="217"/>
      <c r="H1" s="217"/>
      <c r="I1" s="217"/>
      <c r="J1" s="217"/>
      <c r="K1" s="218"/>
      <c r="M1" s="273" t="s">
        <v>153</v>
      </c>
      <c r="N1" s="274"/>
      <c r="O1" s="8">
        <f>SUM(K3:K9,F13:F28)</f>
        <v>15.07</v>
      </c>
    </row>
    <row r="2" spans="1:15" s="74" customFormat="1" ht="30.6" customHeight="1" thickBot="1" x14ac:dyDescent="0.25">
      <c r="A2" s="86" t="s">
        <v>154</v>
      </c>
      <c r="B2" s="139" t="s">
        <v>155</v>
      </c>
      <c r="C2" s="139" t="s">
        <v>156</v>
      </c>
      <c r="D2" s="73" t="s">
        <v>157</v>
      </c>
      <c r="E2" s="139" t="s">
        <v>158</v>
      </c>
      <c r="F2" s="72" t="s">
        <v>159</v>
      </c>
      <c r="G2" s="139" t="s">
        <v>160</v>
      </c>
      <c r="H2" s="139" t="s">
        <v>161</v>
      </c>
      <c r="I2" s="139" t="s">
        <v>162</v>
      </c>
      <c r="J2" s="139" t="s">
        <v>163</v>
      </c>
      <c r="K2" s="87" t="s">
        <v>164</v>
      </c>
      <c r="M2" s="275" t="s">
        <v>165</v>
      </c>
      <c r="N2" s="276"/>
      <c r="O2" s="52">
        <f>ROUND(SUM(J3:J9),0)</f>
        <v>46</v>
      </c>
    </row>
    <row r="3" spans="1:15" x14ac:dyDescent="0.2">
      <c r="A3" s="182">
        <v>60</v>
      </c>
      <c r="B3" s="69">
        <v>204</v>
      </c>
      <c r="C3" s="69" t="s">
        <v>41</v>
      </c>
      <c r="D3" s="60">
        <v>2</v>
      </c>
      <c r="E3" s="141">
        <f>_xlfn.XLOOKUP(C3,'Costs Ref'!$A$25:$A$46,'Costs Ref'!$D$25:$D$46,"")</f>
        <v>1.4950000000000001</v>
      </c>
      <c r="F3" s="149">
        <f>_xlfn.XLOOKUP(C3,'Costs Ref'!$A$25:$A$46,'Costs Ref'!$F$25:$F$46,"")</f>
        <v>0.14699999999999999</v>
      </c>
      <c r="G3" s="34">
        <f>IF(A3="","",(1.65*0.000125^('Grist and Pitch Calc''s'!$E$2-1))*((1-EXP(-0.04*A3))/4.15))</f>
        <v>0.20702456881444536</v>
      </c>
      <c r="H3" s="34">
        <f t="shared" ref="H3" si="0">IF(B3="","", 0.0003858*B3^2 - 0.12885802*B3 + 10.97839506)</f>
        <v>0.74681178000000514</v>
      </c>
      <c r="I3" s="34">
        <f t="shared" ref="I3" si="1">IFERROR(H3*G3,"")</f>
        <v>0.15460838674004951</v>
      </c>
      <c r="J3" s="35">
        <f>IF(H3="","",D3*F3*I3*(7489.1/'Grist and Pitch Calc''s'!$B$4))</f>
        <v>23.47696791211462</v>
      </c>
      <c r="K3" s="88">
        <f t="shared" ref="K3" si="2">IFERROR(E3*D3,"")</f>
        <v>2.99</v>
      </c>
    </row>
    <row r="4" spans="1:15" x14ac:dyDescent="0.2">
      <c r="A4" s="182">
        <v>30</v>
      </c>
      <c r="B4" s="69">
        <v>204</v>
      </c>
      <c r="C4" s="69" t="s">
        <v>206</v>
      </c>
      <c r="D4" s="60">
        <v>1</v>
      </c>
      <c r="E4" s="141">
        <f>_xlfn.XLOOKUP(C4,'Costs Ref'!$A$25:$A$46,'Costs Ref'!$D$25:$D$46,"")</f>
        <v>0</v>
      </c>
      <c r="F4" s="149">
        <f>_xlfn.XLOOKUP(C4,'Costs Ref'!$A$25:$A$46,'Costs Ref'!$F$25:$F$46,"")</f>
        <v>0.19</v>
      </c>
      <c r="G4" s="34">
        <f>IF(A4="","",(1.65*0.000125^('Grist and Pitch Calc''s'!$E$2-1))*((1-EXP(-0.04*A4))/4.15))</f>
        <v>0.15910351192709909</v>
      </c>
      <c r="H4" s="34">
        <f>IF(B4="","", 0.0003858*B4^2 - 0.12885802*B4 + 10.97839506)</f>
        <v>0.74681178000000514</v>
      </c>
      <c r="I4" s="34">
        <f>IFERROR(H4*G4,"")</f>
        <v>0.11882037694652893</v>
      </c>
      <c r="J4" s="35">
        <f>IF(H4="","",D4*F4*I4*(7489.1/'Grist and Pitch Calc''s'!$B$4))</f>
        <v>11.6602041481481</v>
      </c>
      <c r="K4" s="88">
        <f t="shared" ref="K4:K9" si="3">IFERROR(E4*D4,"")</f>
        <v>0</v>
      </c>
    </row>
    <row r="5" spans="1:15" x14ac:dyDescent="0.2">
      <c r="A5" s="178">
        <v>20</v>
      </c>
      <c r="B5" s="69">
        <v>175</v>
      </c>
      <c r="C5" s="69" t="s">
        <v>47</v>
      </c>
      <c r="D5" s="60">
        <v>2</v>
      </c>
      <c r="E5" s="141">
        <f>_xlfn.XLOOKUP(C5,'Costs Ref'!$A$25:$A$46,'Costs Ref'!$D$25:$D$46,"")</f>
        <v>1.7275</v>
      </c>
      <c r="F5" s="149">
        <f>_xlfn.XLOOKUP(C5,'Costs Ref'!$A$25:$A$46,'Costs Ref'!$F$25:$F$46,"")</f>
        <v>0.18</v>
      </c>
      <c r="G5" s="34">
        <f>IF(A5="","",(1.65*0.000125^('Grist and Pitch Calc''s'!$E$2-1))*((1-EXP(-0.04*A5))/4.15))</f>
        <v>0.12537631659467005</v>
      </c>
      <c r="H5" s="34">
        <f t="shared" ref="H5:H9" si="4">IF(B5="","", 0.0003858*B5^2 - 0.12885802*B5 + 10.97839506)</f>
        <v>0.24336656000000367</v>
      </c>
      <c r="I5" s="34">
        <f t="shared" ref="I5:I9" si="5">IFERROR(H5*G5,"")</f>
        <v>3.0512402875116224E-2</v>
      </c>
      <c r="J5" s="35">
        <f>IF(H5="","",D5*F5*I5*(7489.1/'Grist and Pitch Calc''s'!$B$4))</f>
        <v>5.6733625582021956</v>
      </c>
      <c r="K5" s="88">
        <f t="shared" si="3"/>
        <v>3.4550000000000001</v>
      </c>
    </row>
    <row r="6" spans="1:15" x14ac:dyDescent="0.2">
      <c r="A6" s="178">
        <v>20</v>
      </c>
      <c r="B6" s="69">
        <v>175</v>
      </c>
      <c r="C6" s="69" t="s">
        <v>205</v>
      </c>
      <c r="D6" s="60">
        <v>2</v>
      </c>
      <c r="E6" s="141">
        <f>_xlfn.XLOOKUP(C6,'Costs Ref'!$A$25:$A$46,'Costs Ref'!$D$25:$D$46,"")</f>
        <v>0</v>
      </c>
      <c r="F6" s="149">
        <f>_xlfn.XLOOKUP(C6,'Costs Ref'!$A$25:$A$46,'Costs Ref'!$F$25:$F$46,"")</f>
        <v>0.06</v>
      </c>
      <c r="G6" s="34">
        <f>IF(A6="","",(1.65*0.000125^('Grist and Pitch Calc''s'!$E$2-1))*((1-EXP(-0.04*A6))/4.15))</f>
        <v>0.12537631659467005</v>
      </c>
      <c r="H6" s="34">
        <f t="shared" si="4"/>
        <v>0.24336656000000367</v>
      </c>
      <c r="I6" s="34">
        <f t="shared" si="5"/>
        <v>3.0512402875116224E-2</v>
      </c>
      <c r="J6" s="35">
        <f>IF(H6="","",D6*F6*I6*(7489.1/'Grist and Pitch Calc''s'!$B$4))</f>
        <v>1.8911208527340655</v>
      </c>
      <c r="K6" s="88">
        <f t="shared" si="3"/>
        <v>0</v>
      </c>
    </row>
    <row r="7" spans="1:15" ht="15.75" thickBot="1" x14ac:dyDescent="0.25">
      <c r="A7" s="178">
        <v>20</v>
      </c>
      <c r="B7" s="69">
        <v>175</v>
      </c>
      <c r="C7" s="69" t="s">
        <v>206</v>
      </c>
      <c r="D7" s="60">
        <v>1</v>
      </c>
      <c r="E7" s="141">
        <f>_xlfn.XLOOKUP(C7,'Costs Ref'!$A$25:$A$46,'Costs Ref'!$D$25:$D$46,"")</f>
        <v>0</v>
      </c>
      <c r="F7" s="149">
        <f>_xlfn.XLOOKUP(C7,'Costs Ref'!$A$25:$A$46,'Costs Ref'!$F$25:$F$46,"")</f>
        <v>0.19</v>
      </c>
      <c r="G7" s="34">
        <f>IF(A7="","",(1.65*0.000125^('Grist and Pitch Calc''s'!$E$2-1))*((1-EXP(-0.04*A7))/4.15))</f>
        <v>0.12537631659467005</v>
      </c>
      <c r="H7" s="34">
        <f t="shared" si="4"/>
        <v>0.24336656000000367</v>
      </c>
      <c r="I7" s="34">
        <f t="shared" si="5"/>
        <v>3.0512402875116224E-2</v>
      </c>
      <c r="J7" s="35">
        <f>IF(H7="","",D7*F7*I7*(7489.1/'Grist and Pitch Calc''s'!$B$4))</f>
        <v>2.9942746834956036</v>
      </c>
      <c r="K7" s="88">
        <f t="shared" si="3"/>
        <v>0</v>
      </c>
    </row>
    <row r="8" spans="1:15" x14ac:dyDescent="0.2">
      <c r="A8" s="178"/>
      <c r="B8" s="69"/>
      <c r="C8" s="69"/>
      <c r="D8" s="60"/>
      <c r="E8" s="141" t="str">
        <f>_xlfn.XLOOKUP(C8,'Costs Ref'!$A$25:$A$46,'Costs Ref'!$D$25:$D$46,"")</f>
        <v/>
      </c>
      <c r="F8" s="149" t="str">
        <f>_xlfn.XLOOKUP(C8,'Costs Ref'!$A$25:$A$46,'Costs Ref'!$F$25:$F$46,"")</f>
        <v/>
      </c>
      <c r="G8" s="34" t="str">
        <f>IF(A8="","",(1.65*0.000125^('Grist and Pitch Calc''s'!$E$2-1))*((1-EXP(-0.04*A8))/4.15))</f>
        <v/>
      </c>
      <c r="H8" s="34" t="str">
        <f t="shared" si="4"/>
        <v/>
      </c>
      <c r="I8" s="34" t="str">
        <f t="shared" si="5"/>
        <v/>
      </c>
      <c r="J8" s="35" t="str">
        <f>IF(H8="","",D8*F8*I8*(7489.1/'Grist and Pitch Calc''s'!$B$4))</f>
        <v/>
      </c>
      <c r="K8" s="88" t="str">
        <f t="shared" si="3"/>
        <v/>
      </c>
      <c r="M8" s="216" t="s">
        <v>166</v>
      </c>
      <c r="N8" s="217"/>
      <c r="O8" s="218"/>
    </row>
    <row r="9" spans="1:15" ht="15.75" thickBot="1" x14ac:dyDescent="0.25">
      <c r="A9" s="179"/>
      <c r="B9" s="180"/>
      <c r="C9" s="89"/>
      <c r="D9" s="181"/>
      <c r="E9" s="142" t="str">
        <f>_xlfn.XLOOKUP(C9,'Costs Ref'!$A$25:$A$46,'Costs Ref'!$D$25:$D$46,"")</f>
        <v/>
      </c>
      <c r="F9" s="150" t="str">
        <f>_xlfn.XLOOKUP(C9,'Costs Ref'!$A$25:$A$46,'Costs Ref'!$F$25:$F$46,"")</f>
        <v/>
      </c>
      <c r="G9" s="91" t="str">
        <f>IF(A9="","",(1.65*0.000125^('Grist and Pitch Calc''s'!$E$2-1))*((1-EXP(-0.04*A9))/4.15))</f>
        <v/>
      </c>
      <c r="H9" s="91" t="str">
        <f t="shared" si="4"/>
        <v/>
      </c>
      <c r="I9" s="91" t="str">
        <f t="shared" si="5"/>
        <v/>
      </c>
      <c r="J9" s="35" t="str">
        <f>IF(H9="","",D9*F9*I9*(7489.1/'Grist and Pitch Calc''s'!$B$4))</f>
        <v/>
      </c>
      <c r="K9" s="92" t="str">
        <f t="shared" si="3"/>
        <v/>
      </c>
      <c r="M9" s="99" t="s">
        <v>167</v>
      </c>
      <c r="N9" s="76" t="s">
        <v>168</v>
      </c>
      <c r="O9" s="100" t="s">
        <v>169</v>
      </c>
    </row>
    <row r="10" spans="1:15" ht="15.75" thickBot="1" x14ac:dyDescent="0.25">
      <c r="M10" s="101">
        <v>100</v>
      </c>
      <c r="N10" s="57">
        <f>CONVERT(M10,"C","F")</f>
        <v>212</v>
      </c>
      <c r="O10" s="102">
        <v>1</v>
      </c>
    </row>
    <row r="11" spans="1:15" x14ac:dyDescent="0.2">
      <c r="B11" s="280" t="s">
        <v>170</v>
      </c>
      <c r="C11" s="281"/>
      <c r="D11" s="281"/>
      <c r="E11" s="281"/>
      <c r="F11" s="282"/>
      <c r="G11" s="93" t="s">
        <v>171</v>
      </c>
      <c r="H11" s="277" t="s">
        <v>172</v>
      </c>
      <c r="I11" s="278"/>
      <c r="J11" s="279"/>
      <c r="M11" s="101">
        <v>90</v>
      </c>
      <c r="N11" s="57">
        <f t="shared" ref="N11:N12" si="6">CONVERT(M11,"C","F")</f>
        <v>194</v>
      </c>
      <c r="O11" s="102">
        <v>0.5</v>
      </c>
    </row>
    <row r="12" spans="1:15" ht="15.75" thickBot="1" x14ac:dyDescent="0.25">
      <c r="B12" s="95" t="s">
        <v>173</v>
      </c>
      <c r="C12" s="139" t="s">
        <v>156</v>
      </c>
      <c r="D12" s="47" t="s">
        <v>174</v>
      </c>
      <c r="E12" s="37" t="s">
        <v>158</v>
      </c>
      <c r="F12" s="100" t="s">
        <v>164</v>
      </c>
      <c r="G12" s="94">
        <v>12</v>
      </c>
      <c r="H12" s="270">
        <f>SUM(D13:D21)/(G12)</f>
        <v>1.25</v>
      </c>
      <c r="I12" s="271"/>
      <c r="J12" s="272"/>
      <c r="M12" s="103">
        <v>80</v>
      </c>
      <c r="N12" s="104">
        <f t="shared" si="6"/>
        <v>176</v>
      </c>
      <c r="O12" s="105">
        <v>0.25</v>
      </c>
    </row>
    <row r="13" spans="1:15" ht="14.45" customHeight="1" x14ac:dyDescent="0.2">
      <c r="B13" s="178" t="s">
        <v>175</v>
      </c>
      <c r="C13" s="69" t="s">
        <v>58</v>
      </c>
      <c r="D13" s="60">
        <v>2</v>
      </c>
      <c r="E13" s="143">
        <f>_xlfn.XLOOKUP(C13,'Costs Ref'!$A$25:$A$46,'Costs Ref'!$D$25:$D$46,"")</f>
        <v>1.4375</v>
      </c>
      <c r="F13" s="88">
        <f t="shared" ref="F13:F28" si="7">IFERROR(E13*D13,"")</f>
        <v>2.875</v>
      </c>
      <c r="H13" s="261" t="s">
        <v>176</v>
      </c>
      <c r="I13" s="262"/>
      <c r="J13" s="263"/>
    </row>
    <row r="14" spans="1:15" x14ac:dyDescent="0.2">
      <c r="B14" s="178" t="s">
        <v>175</v>
      </c>
      <c r="C14" s="69" t="s">
        <v>205</v>
      </c>
      <c r="D14" s="60">
        <v>2</v>
      </c>
      <c r="E14" s="143">
        <f>_xlfn.XLOOKUP(C14,'Costs Ref'!$A$25:$A$46,'Costs Ref'!$D$25:$D$46,"")</f>
        <v>0</v>
      </c>
      <c r="F14" s="88">
        <f t="shared" si="7"/>
        <v>0</v>
      </c>
      <c r="H14" s="264"/>
      <c r="I14" s="265"/>
      <c r="J14" s="266"/>
    </row>
    <row r="15" spans="1:15" x14ac:dyDescent="0.2">
      <c r="B15" s="178" t="s">
        <v>175</v>
      </c>
      <c r="C15" s="69" t="s">
        <v>206</v>
      </c>
      <c r="D15" s="60">
        <v>1</v>
      </c>
      <c r="E15" s="143">
        <f>_xlfn.XLOOKUP(C15,'Costs Ref'!$A$25:$A$46,'Costs Ref'!$D$25:$D$46,"")</f>
        <v>0</v>
      </c>
      <c r="F15" s="88">
        <f t="shared" si="7"/>
        <v>0</v>
      </c>
      <c r="H15" s="264"/>
      <c r="I15" s="265"/>
      <c r="J15" s="266"/>
    </row>
    <row r="16" spans="1:15" ht="15.75" thickBot="1" x14ac:dyDescent="0.25">
      <c r="B16" s="178" t="s">
        <v>177</v>
      </c>
      <c r="C16" s="69" t="s">
        <v>58</v>
      </c>
      <c r="D16" s="60">
        <v>2</v>
      </c>
      <c r="E16" s="143">
        <f>_xlfn.XLOOKUP(C16,'Costs Ref'!$A$25:$A$46,'Costs Ref'!$D$25:$D$46,"")</f>
        <v>1.4375</v>
      </c>
      <c r="F16" s="88">
        <f t="shared" si="7"/>
        <v>2.875</v>
      </c>
      <c r="H16" s="267"/>
      <c r="I16" s="268"/>
      <c r="J16" s="269"/>
    </row>
    <row r="17" spans="2:16" x14ac:dyDescent="0.2">
      <c r="B17" s="178" t="s">
        <v>177</v>
      </c>
      <c r="C17" s="69" t="s">
        <v>205</v>
      </c>
      <c r="D17" s="60">
        <v>2</v>
      </c>
      <c r="E17" s="143">
        <f>_xlfn.XLOOKUP(C17,'Costs Ref'!$A$25:$A$46,'Costs Ref'!$D$25:$D$46,"")</f>
        <v>0</v>
      </c>
      <c r="F17" s="88">
        <f t="shared" si="7"/>
        <v>0</v>
      </c>
    </row>
    <row r="18" spans="2:16" x14ac:dyDescent="0.2">
      <c r="B18" s="178" t="s">
        <v>177</v>
      </c>
      <c r="C18" s="69" t="s">
        <v>206</v>
      </c>
      <c r="D18" s="60">
        <v>1</v>
      </c>
      <c r="E18" s="143">
        <f>_xlfn.XLOOKUP(C18,'Costs Ref'!$A$25:$A$46,'Costs Ref'!$D$25:$D$46,"")</f>
        <v>0</v>
      </c>
      <c r="F18" s="88">
        <f t="shared" si="7"/>
        <v>0</v>
      </c>
    </row>
    <row r="19" spans="2:16" x14ac:dyDescent="0.2">
      <c r="B19" s="178" t="s">
        <v>178</v>
      </c>
      <c r="C19" s="69" t="s">
        <v>58</v>
      </c>
      <c r="D19" s="60">
        <v>2</v>
      </c>
      <c r="E19" s="143">
        <f>_xlfn.XLOOKUP(C19,'Costs Ref'!$A$25:$A$46,'Costs Ref'!$D$25:$D$46,"")</f>
        <v>1.4375</v>
      </c>
      <c r="F19" s="88">
        <f t="shared" si="7"/>
        <v>2.875</v>
      </c>
    </row>
    <row r="20" spans="2:16" s="9" customFormat="1" x14ac:dyDescent="0.2">
      <c r="B20" s="178" t="s">
        <v>178</v>
      </c>
      <c r="C20" s="69" t="s">
        <v>205</v>
      </c>
      <c r="D20" s="60">
        <v>2</v>
      </c>
      <c r="E20" s="143">
        <f>_xlfn.XLOOKUP(C20,'Costs Ref'!$A$25:$A$46,'Costs Ref'!$D$25:$D$46,"")</f>
        <v>0</v>
      </c>
      <c r="F20" s="88">
        <f t="shared" si="7"/>
        <v>0</v>
      </c>
      <c r="N20"/>
      <c r="O20"/>
      <c r="P20"/>
    </row>
    <row r="21" spans="2:16" x14ac:dyDescent="0.2">
      <c r="B21" s="178" t="s">
        <v>178</v>
      </c>
      <c r="C21" s="69" t="s">
        <v>206</v>
      </c>
      <c r="D21" s="60">
        <v>1</v>
      </c>
      <c r="E21" s="143">
        <f>_xlfn.XLOOKUP(C21,'Costs Ref'!$A$25:$A$46,'Costs Ref'!$D$25:$D$46,"")</f>
        <v>0</v>
      </c>
      <c r="F21" s="88">
        <f t="shared" si="7"/>
        <v>0</v>
      </c>
      <c r="N21" s="9"/>
      <c r="O21" s="9"/>
      <c r="P21" s="9"/>
    </row>
    <row r="22" spans="2:16" x14ac:dyDescent="0.2">
      <c r="B22" s="96"/>
      <c r="C22" s="69"/>
      <c r="D22" s="60"/>
      <c r="E22" s="143" t="str">
        <f>_xlfn.XLOOKUP(C22,'Costs Ref'!$A$25:$A$46,'Costs Ref'!$D$25:$D$46,"")</f>
        <v/>
      </c>
      <c r="F22" s="88" t="str">
        <f t="shared" si="7"/>
        <v/>
      </c>
    </row>
    <row r="23" spans="2:16" x14ac:dyDescent="0.2">
      <c r="B23" s="97"/>
      <c r="C23" s="69"/>
      <c r="D23" s="70"/>
      <c r="E23" s="143" t="str">
        <f>_xlfn.XLOOKUP(C23,'Costs Ref'!$A$25:$A$46,'Costs Ref'!$D$25:$D$46,"")</f>
        <v/>
      </c>
      <c r="F23" s="88" t="str">
        <f t="shared" si="7"/>
        <v/>
      </c>
    </row>
    <row r="24" spans="2:16" x14ac:dyDescent="0.2">
      <c r="B24" s="96"/>
      <c r="C24" s="69"/>
      <c r="D24" s="60"/>
      <c r="E24" s="143" t="str">
        <f>_xlfn.XLOOKUP(C24,'Costs Ref'!$A$25:$A$46,'Costs Ref'!$D$25:$D$46,"")</f>
        <v/>
      </c>
      <c r="F24" s="88" t="str">
        <f t="shared" si="7"/>
        <v/>
      </c>
    </row>
    <row r="25" spans="2:16" x14ac:dyDescent="0.2">
      <c r="B25" s="96"/>
      <c r="C25" s="69"/>
      <c r="D25" s="60"/>
      <c r="E25" s="143" t="str">
        <f>_xlfn.XLOOKUP(C25,'Costs Ref'!$A$25:$A$46,'Costs Ref'!$D$25:$D$46,"")</f>
        <v/>
      </c>
      <c r="F25" s="88" t="str">
        <f t="shared" si="7"/>
        <v/>
      </c>
    </row>
    <row r="26" spans="2:16" x14ac:dyDescent="0.2">
      <c r="B26" s="96"/>
      <c r="C26" s="69"/>
      <c r="D26" s="60"/>
      <c r="E26" s="143" t="str">
        <f>_xlfn.XLOOKUP(C26,'Costs Ref'!$A$25:$A$46,'Costs Ref'!$D$25:$D$46,"")</f>
        <v/>
      </c>
      <c r="F26" s="88" t="str">
        <f t="shared" si="7"/>
        <v/>
      </c>
    </row>
    <row r="27" spans="2:16" x14ac:dyDescent="0.2">
      <c r="B27" s="96"/>
      <c r="C27" s="69"/>
      <c r="D27" s="60"/>
      <c r="E27" s="143" t="str">
        <f>_xlfn.XLOOKUP(C27,'Costs Ref'!$A$25:$A$46,'Costs Ref'!$D$25:$D$46,"")</f>
        <v/>
      </c>
      <c r="F27" s="88" t="str">
        <f t="shared" si="7"/>
        <v/>
      </c>
    </row>
    <row r="28" spans="2:16" ht="15.75" thickBot="1" x14ac:dyDescent="0.25">
      <c r="B28" s="98"/>
      <c r="C28" s="89"/>
      <c r="D28" s="90"/>
      <c r="E28" s="144" t="str">
        <f>_xlfn.XLOOKUP(C28,'Costs Ref'!$A$25:$A$46,'Costs Ref'!$D$25:$D$46,"")</f>
        <v/>
      </c>
      <c r="F28" s="92" t="str">
        <f t="shared" si="7"/>
        <v/>
      </c>
    </row>
  </sheetData>
  <sheetProtection selectLockedCells="1"/>
  <mergeCells count="8">
    <mergeCell ref="H13:J16"/>
    <mergeCell ref="H12:J12"/>
    <mergeCell ref="M1:N1"/>
    <mergeCell ref="M2:N2"/>
    <mergeCell ref="H11:J11"/>
    <mergeCell ref="M8:O8"/>
    <mergeCell ref="A1:K1"/>
    <mergeCell ref="B11:F11"/>
  </mergeCells>
  <phoneticPr fontId="5" type="noConversion"/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CC7D70-6318-45CE-B2D4-521E9135628F}">
          <x14:formula1>
            <xm:f>'Costs Ref'!$A$25:$A$46</xm:f>
          </x14:formula1>
          <xm:sqref>C3:C9 C13:C28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1535F-D455-4A5F-9336-4F41C29FB9D4}">
  <sheetPr codeName="Sheet6"/>
  <dimension ref="A1:E24"/>
  <sheetViews>
    <sheetView workbookViewId="0">
      <selection sqref="A1:B1"/>
    </sheetView>
  </sheetViews>
  <sheetFormatPr defaultRowHeight="15" x14ac:dyDescent="0.2"/>
  <cols>
    <col min="1" max="1" width="25.01953125" style="186" customWidth="1"/>
    <col min="2" max="2" width="11.703125" style="203" bestFit="1" customWidth="1"/>
    <col min="3" max="3" width="12.375" customWidth="1"/>
  </cols>
  <sheetData>
    <row r="1" spans="1:2" x14ac:dyDescent="0.2">
      <c r="A1" s="283" t="s">
        <v>208</v>
      </c>
      <c r="B1" s="284"/>
    </row>
    <row r="2" spans="1:2" x14ac:dyDescent="0.2">
      <c r="A2" s="86" t="s">
        <v>179</v>
      </c>
      <c r="B2" s="183" t="s">
        <v>180</v>
      </c>
    </row>
    <row r="3" spans="1:2" x14ac:dyDescent="0.2">
      <c r="A3" s="184" t="s">
        <v>181</v>
      </c>
      <c r="B3" s="189">
        <f>'Grist and Pitch Calc''s'!I3</f>
        <v>1.0688522161842589</v>
      </c>
    </row>
    <row r="4" spans="1:2" x14ac:dyDescent="0.2">
      <c r="A4" s="184" t="s">
        <v>182</v>
      </c>
      <c r="B4" s="189">
        <f>'Grist and Pitch Calc''s'!K7</f>
        <v>1.0137704432368517</v>
      </c>
    </row>
    <row r="5" spans="1:2" x14ac:dyDescent="0.2">
      <c r="A5" s="184" t="s">
        <v>183</v>
      </c>
      <c r="B5" s="190">
        <f>Hops!O2</f>
        <v>46</v>
      </c>
    </row>
    <row r="6" spans="1:2" x14ac:dyDescent="0.2">
      <c r="A6" s="184" t="s">
        <v>184</v>
      </c>
      <c r="B6" s="191">
        <f>'Grist and Pitch Calc''s'!I4</f>
        <v>4.104854283596433</v>
      </c>
    </row>
    <row r="7" spans="1:2" x14ac:dyDescent="0.2">
      <c r="A7" s="184" t="s">
        <v>185</v>
      </c>
      <c r="B7" s="192">
        <f>'Grist and Pitch Calc''s'!K8</f>
        <v>7.577081120147186E-2</v>
      </c>
    </row>
    <row r="8" spans="1:2" ht="15.75" thickBot="1" x14ac:dyDescent="0.25">
      <c r="A8" s="185" t="s">
        <v>186</v>
      </c>
      <c r="B8" s="193">
        <f>Hops!H12</f>
        <v>1.25</v>
      </c>
    </row>
    <row r="9" spans="1:2" ht="15.75" thickBot="1" x14ac:dyDescent="0.25">
      <c r="B9" s="194"/>
    </row>
    <row r="10" spans="1:2" x14ac:dyDescent="0.2">
      <c r="A10" s="187" t="s">
        <v>187</v>
      </c>
      <c r="B10" s="195">
        <f>'Grist and Pitch Calc''s'!M10+'Grist and Pitch Calc''s'!M7+Hops!O1</f>
        <v>73.762363636363631</v>
      </c>
    </row>
    <row r="11" spans="1:2" ht="29.25" customHeight="1" x14ac:dyDescent="0.2">
      <c r="A11" s="184" t="s">
        <v>188</v>
      </c>
      <c r="B11" s="196">
        <f>'Grist and Pitch Calc''s'!M10+Hops!O1</f>
        <v>62.772363636363629</v>
      </c>
    </row>
    <row r="12" spans="1:2" x14ac:dyDescent="0.2">
      <c r="A12" s="184" t="s">
        <v>189</v>
      </c>
      <c r="B12" s="197">
        <f>(B10-B11)/B10</f>
        <v>0.14899197176189882</v>
      </c>
    </row>
    <row r="13" spans="1:2" x14ac:dyDescent="0.2">
      <c r="A13" s="188" t="s">
        <v>201</v>
      </c>
      <c r="B13" s="198">
        <v>80</v>
      </c>
    </row>
    <row r="14" spans="1:2" x14ac:dyDescent="0.2">
      <c r="A14" s="184" t="s">
        <v>190</v>
      </c>
      <c r="B14" s="199">
        <v>36</v>
      </c>
    </row>
    <row r="15" spans="1:2" x14ac:dyDescent="0.2">
      <c r="A15" s="184" t="s">
        <v>191</v>
      </c>
      <c r="B15" s="196">
        <f>(B10+'Costs Ref'!B55+'Costs Ref'!D54*B14)/B13</f>
        <v>1.5704670454545453</v>
      </c>
    </row>
    <row r="16" spans="1:2" x14ac:dyDescent="0.2">
      <c r="A16" s="184" t="s">
        <v>192</v>
      </c>
      <c r="B16" s="196">
        <f>B15*4</f>
        <v>6.2818681818181812</v>
      </c>
    </row>
    <row r="17" spans="1:5" x14ac:dyDescent="0.2">
      <c r="A17" s="184" t="s">
        <v>193</v>
      </c>
      <c r="B17" s="196">
        <f>(B10+'Costs Ref'!B55+'Costs Ref'!D54*B14)</f>
        <v>125.63736363636363</v>
      </c>
    </row>
    <row r="18" spans="1:5" x14ac:dyDescent="0.2">
      <c r="A18" s="184" t="s">
        <v>194</v>
      </c>
      <c r="B18" s="200">
        <v>20</v>
      </c>
    </row>
    <row r="19" spans="1:5" x14ac:dyDescent="0.2">
      <c r="A19" s="184" t="s">
        <v>195</v>
      </c>
      <c r="B19" s="201">
        <v>7</v>
      </c>
      <c r="C19" t="s">
        <v>196</v>
      </c>
    </row>
    <row r="20" spans="1:5" x14ac:dyDescent="0.2">
      <c r="A20" s="184" t="s">
        <v>197</v>
      </c>
      <c r="B20" s="196">
        <f>B18*B19</f>
        <v>140</v>
      </c>
    </row>
    <row r="21" spans="1:5" x14ac:dyDescent="0.2">
      <c r="A21" s="184" t="s">
        <v>198</v>
      </c>
      <c r="B21" s="196">
        <f>B20-B17</f>
        <v>14.362636363636369</v>
      </c>
    </row>
    <row r="22" spans="1:5" ht="15.75" thickBot="1" x14ac:dyDescent="0.25">
      <c r="A22" s="185" t="s">
        <v>199</v>
      </c>
      <c r="B22" s="202">
        <f>B21/B17</f>
        <v>0.11431819283638124</v>
      </c>
    </row>
    <row r="23" spans="1:5" ht="15.75" thickBot="1" x14ac:dyDescent="0.25"/>
    <row r="24" spans="1:5" ht="15.75" thickBot="1" x14ac:dyDescent="0.25">
      <c r="A24" s="285" t="s">
        <v>200</v>
      </c>
      <c r="B24" s="286"/>
      <c r="C24" s="286"/>
      <c r="D24" s="286"/>
      <c r="E24" s="287"/>
    </row>
  </sheetData>
  <sheetProtection selectLockedCells="1"/>
  <mergeCells count="2">
    <mergeCell ref="A1:B1"/>
    <mergeCell ref="A24:E2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Costs Ref</vt:lpstr>
      <vt:lpstr>Yeast Pitch Rate Ref </vt:lpstr>
      <vt:lpstr>Grist and Pitch Calc's</vt:lpstr>
      <vt:lpstr>Starter Vol Solver</vt:lpstr>
      <vt:lpstr>Hops</vt:lpstr>
      <vt:lpstr>Calc'd Beer stats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Persyn</dc:creator>
  <cp:keywords/>
  <dc:description/>
  <cp:lastModifiedBy>Michael Persyn</cp:lastModifiedBy>
  <cp:revision/>
  <dcterms:created xsi:type="dcterms:W3CDTF">2022-01-30T01:45:44Z</dcterms:created>
  <dcterms:modified xsi:type="dcterms:W3CDTF">2026-06-16T04:43:47Z</dcterms:modified>
  <cp:category/>
  <cp:contentStatus/>
</cp:coreProperties>
</file>